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Лист1" sheetId="1" state="visible" r:id="rId2"/>
    <sheet name="Sheet1" sheetId="2" state="visible" r:id="rId3"/>
  </sheets>
  <definedNames>
    <definedName name="z22_113" localSheetId="0">Лист1!#REF!</definedName>
    <definedName name="z22_114" localSheetId="0">'Лист1'!$A$2:$C$26</definedName>
    <definedName name="z22_115" localSheetId="0">Лист1!#REF!</definedName>
    <definedName name="z22_116" localSheetId="0">Лист1!#REF!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name="z22-114" type="6" background="1" refreshedVersion="2" saveData="1">
    <textPr codePage="1148" sourceFile="Z:\Для экспертов\ЕГЭ_2025\Второй день\2520\22\z22-114.txt" delimited="1" decimal="," thousands=" ">
      <textFields count="3">
        <textField position="0"/>
        <textField position="0"/>
        <textField position="0"/>
      </textFields>
    </textPr>
  </connection>
</connections>
</file>

<file path=xl/sharedStrings.xml><?xml version="1.0" encoding="utf-8"?>
<sst xmlns="http://schemas.openxmlformats.org/spreadsheetml/2006/main" count="7" uniqueCount="7">
  <si>
    <t xml:space="preserve">ID </t>
  </si>
  <si>
    <t xml:space="preserve">Время </t>
  </si>
  <si>
    <t xml:space="preserve">ID влияющ</t>
  </si>
  <si>
    <t xml:space="preserve">время влияющ</t>
  </si>
  <si>
    <t>начало</t>
  </si>
  <si>
    <t>конец</t>
  </si>
  <si>
    <t>счетчик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</si>
</sst>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_-* #,##0.00\ &quot;₽&quot;_-;\-* #,##0.00\ &quot;₽&quot;_-;_-* &quot;-&quot;??\ &quot;₽&quot;_-;_-@_-"/>
    <numFmt numFmtId="165" formatCode="_-* #,##0\ &quot;₽&quot;_-;\-* #,##0\ &quot;₽&quot;_-;_-* &quot;-&quot;\ &quot;₽&quot;_-;_-@_-"/>
    <numFmt numFmtId="166" formatCode="_-* #,##0.00\ _₽_-;\-* #,##0.00\ _₽_-;_-* &quot;-&quot;??\ _₽_-;_-@_-"/>
    <numFmt numFmtId="167" formatCode="_-* #,##0\ _₽_-;\-* #,##0\ _₽_-;_-* &quot;-&quot;\ _₽_-;_-@_-"/>
  </numFmts>
  <fonts count="18"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indexed="64"/>
      <name val="Calibri"/>
    </font>
    <font>
      <b/>
      <sz val="15.000000"/>
      <color theme="3" tint="0"/>
      <name val="Calibri"/>
      <scheme val="minor"/>
    </font>
    <font>
      <b/>
      <sz val="13.000000"/>
      <color theme="3" tint="0"/>
      <name val="Calibri"/>
      <scheme val="minor"/>
    </font>
    <font>
      <b/>
      <sz val="11.000000"/>
      <color theme="3" tint="0"/>
      <name val="Calibri"/>
      <scheme val="minor"/>
    </font>
    <font>
      <b/>
      <sz val="11.000000"/>
      <color theme="1" tint="0"/>
      <name val="Calibri"/>
      <scheme val="minor"/>
    </font>
    <font>
      <b/>
      <sz val="11.000000"/>
      <color theme="0" tint="0"/>
      <name val="Calibri"/>
      <scheme val="minor"/>
    </font>
    <font>
      <b/>
      <sz val="18.000000"/>
      <color theme="3" tint="0"/>
      <name val="Cambria"/>
      <scheme val="maj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i/>
      <sz val="11.000000"/>
      <color rgb="FF7F7F7F"/>
      <name val="Calibri"/>
      <scheme val="minor"/>
    </font>
    <font>
      <sz val="11.000000"/>
      <color rgb="FFFA7D00"/>
      <name val="Calibri"/>
      <scheme val="minor"/>
    </font>
    <font>
      <sz val="11.000000"/>
      <color indexed="2"/>
      <name val="Calibri"/>
      <scheme val="minor"/>
    </font>
    <font>
      <sz val="11.000000"/>
      <color rgb="FF0061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rgb="FFA5A5A5"/>
        <bgColor indexed="65"/>
      </patternFill>
    </fill>
    <fill>
      <patternFill patternType="solid">
        <fgColor rgb="FFFFEB9C"/>
        <bgColor indexed="65"/>
      </patternFill>
    </fill>
    <fill>
      <patternFill patternType="solid">
        <fgColor rgb="FFFFC7CE"/>
        <bgColor indexed="65"/>
      </patternFill>
    </fill>
    <fill>
      <patternFill patternType="solid">
        <fgColor indexed="26"/>
        <bgColor indexed="65"/>
      </patternFill>
    </fill>
    <fill>
      <patternFill patternType="solid">
        <fgColor rgb="FFC6EFCE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 tint="0"/>
      </bottom>
      <diagonal style="none"/>
    </border>
    <border>
      <left style="none"/>
      <right style="none"/>
      <top style="none"/>
      <bottom style="thick">
        <color theme="4" tint="0.49998500000000001"/>
      </bottom>
      <diagonal style="none"/>
    </border>
    <border>
      <left style="none"/>
      <right style="none"/>
      <top style="none"/>
      <bottom style="medium">
        <color theme="4" tint="0.399976"/>
      </bottom>
      <diagonal style="none"/>
    </border>
    <border>
      <left style="none"/>
      <right style="none"/>
      <top style="thin">
        <color theme="4" tint="0"/>
      </top>
      <bottom style="double">
        <color theme="4" tint="0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</borders>
  <cellStyleXfs count="47">
    <xf fontId="0" fillId="0" borderId="0" numFmtId="0" applyNumberFormat="1" applyFont="1" applyFill="1" applyBorder="1"/>
    <xf fontId="0" fillId="2" borderId="0" numFmtId="0" applyNumberFormat="1" applyFont="1" applyFill="1" applyBorder="1"/>
    <xf fontId="0" fillId="3" borderId="0" numFmtId="0" applyNumberFormat="1" applyFont="1" applyFill="1" applyBorder="1"/>
    <xf fontId="0" fillId="4" borderId="0" numFmtId="0" applyNumberFormat="1" applyFont="1" applyFill="1" applyBorder="1"/>
    <xf fontId="0" fillId="5" borderId="0" numFmtId="0" applyNumberFormat="1" applyFont="1" applyFill="1" applyBorder="1"/>
    <xf fontId="0" fillId="6" borderId="0" numFmtId="0" applyNumberFormat="1" applyFont="1" applyFill="1" applyBorder="1"/>
    <xf fontId="0" fillId="7" borderId="0" numFmtId="0" applyNumberFormat="1" applyFont="1" applyFill="1" applyBorder="1"/>
    <xf fontId="0" fillId="8" borderId="0" numFmtId="0" applyNumberFormat="1" applyFont="1" applyFill="1" applyBorder="1"/>
    <xf fontId="0" fillId="9" borderId="0" numFmtId="0" applyNumberFormat="1" applyFont="1" applyFill="1" applyBorder="1"/>
    <xf fontId="0" fillId="10" borderId="0" numFmtId="0" applyNumberFormat="1" applyFont="1" applyFill="1" applyBorder="1"/>
    <xf fontId="0" fillId="11" borderId="0" numFmtId="0" applyNumberFormat="1" applyFont="1" applyFill="1" applyBorder="1"/>
    <xf fontId="0" fillId="12" borderId="0" numFmtId="0" applyNumberFormat="1" applyFont="1" applyFill="1" applyBorder="1"/>
    <xf fontId="0" fillId="13" borderId="0" numFmtId="0" applyNumberFormat="1" applyFont="1" applyFill="1" applyBorder="1"/>
    <xf fontId="1" fillId="14" borderId="0" numFmtId="0" applyNumberFormat="1" applyFont="1" applyFill="1" applyBorder="1"/>
    <xf fontId="1" fillId="15" borderId="0" numFmtId="0" applyNumberFormat="1" applyFont="1" applyFill="1" applyBorder="1"/>
    <xf fontId="1" fillId="16" borderId="0" numFmtId="0" applyNumberFormat="1" applyFont="1" applyFill="1" applyBorder="1"/>
    <xf fontId="1" fillId="17" borderId="0" numFmtId="0" applyNumberFormat="1" applyFont="1" applyFill="1" applyBorder="1"/>
    <xf fontId="1" fillId="18" borderId="0" numFmtId="0" applyNumberFormat="1" applyFont="1" applyFill="1" applyBorder="1"/>
    <xf fontId="1" fillId="19" borderId="0" numFmtId="0" applyNumberFormat="1" applyFont="1" applyFill="1" applyBorder="1"/>
    <xf fontId="1" fillId="20" borderId="0" numFmtId="0" applyNumberFormat="1" applyFont="1" applyFill="1" applyBorder="1"/>
    <xf fontId="1" fillId="21" borderId="0" numFmtId="0" applyNumberFormat="1" applyFont="1" applyFill="1" applyBorder="1"/>
    <xf fontId="1" fillId="22" borderId="0" numFmtId="0" applyNumberFormat="1" applyFont="1" applyFill="1" applyBorder="1"/>
    <xf fontId="1" fillId="23" borderId="0" numFmtId="0" applyNumberFormat="1" applyFont="1" applyFill="1" applyBorder="1"/>
    <xf fontId="1" fillId="24" borderId="0" numFmtId="0" applyNumberFormat="1" applyFont="1" applyFill="1" applyBorder="1"/>
    <xf fontId="1" fillId="25" borderId="0" numFmtId="0" applyNumberFormat="1" applyFont="1" applyFill="1" applyBorder="1"/>
    <xf fontId="2" fillId="26" borderId="1" numFmtId="0" applyNumberFormat="1" applyFont="1" applyFill="1" applyBorder="1"/>
    <xf fontId="3" fillId="27" borderId="2" numFmtId="0" applyNumberFormat="1" applyFont="1" applyFill="1" applyBorder="1"/>
    <xf fontId="4" fillId="27" borderId="1" numFmtId="0" applyNumberFormat="1" applyFont="1" applyFill="1" applyBorder="1"/>
    <xf fontId="5" fillId="0" borderId="0" numFmtId="164" applyNumberFormat="1" applyFont="1" applyFill="1" applyBorder="1"/>
    <xf fontId="5" fillId="0" borderId="0" numFmtId="165" applyNumberFormat="1" applyFont="1" applyFill="1" applyBorder="1"/>
    <xf fontId="6" fillId="0" borderId="3" numFmtId="0" applyNumberFormat="1" applyFont="1" applyFill="1" applyBorder="1"/>
    <xf fontId="7" fillId="0" borderId="4" numFmtId="0" applyNumberFormat="1" applyFont="1" applyFill="1" applyBorder="1"/>
    <xf fontId="8" fillId="0" borderId="5" numFmtId="0" applyNumberFormat="1" applyFont="1" applyFill="1" applyBorder="1"/>
    <xf fontId="8" fillId="0" borderId="0" numFmtId="0" applyNumberFormat="1" applyFont="1" applyFill="1" applyBorder="1"/>
    <xf fontId="9" fillId="0" borderId="6" numFmtId="0" applyNumberFormat="1" applyFont="1" applyFill="1" applyBorder="1"/>
    <xf fontId="10" fillId="28" borderId="7" numFmtId="0" applyNumberFormat="1" applyFont="1" applyFill="1" applyBorder="1"/>
    <xf fontId="11" fillId="0" borderId="0" numFmtId="0" applyNumberFormat="1" applyFont="1" applyFill="1" applyBorder="1"/>
    <xf fontId="12" fillId="29" borderId="0" numFmtId="0" applyNumberFormat="1" applyFont="1" applyFill="1" applyBorder="1"/>
    <xf fontId="13" fillId="30" borderId="0" numFmtId="0" applyNumberFormat="1" applyFont="1" applyFill="1" applyBorder="1"/>
    <xf fontId="14" fillId="0" borderId="0" numFmtId="0" applyNumberFormat="1" applyFont="1" applyFill="1" applyBorder="1"/>
    <xf fontId="5" fillId="31" borderId="8" numFmtId="0" applyNumberFormat="1" applyFont="1" applyFill="1" applyBorder="1"/>
    <xf fontId="5" fillId="0" borderId="0" numFmtId="9" applyNumberFormat="1" applyFont="1" applyFill="1" applyBorder="1"/>
    <xf fontId="15" fillId="0" borderId="9" numFmtId="0" applyNumberFormat="1" applyFont="1" applyFill="1" applyBorder="1"/>
    <xf fontId="16" fillId="0" borderId="0" numFmtId="0" applyNumberFormat="1" applyFont="1" applyFill="1" applyBorder="1"/>
    <xf fontId="5" fillId="0" borderId="0" numFmtId="166" applyNumberFormat="1" applyFont="1" applyFill="1" applyBorder="1"/>
    <xf fontId="5" fillId="0" borderId="0" numFmtId="167" applyNumberFormat="1" applyFont="1" applyFill="1" applyBorder="1"/>
    <xf fontId="17" fillId="32" borderId="0" numFmtId="0" applyNumberFormat="1" applyFont="1" applyFill="1" applyBorder="1"/>
  </cellStyleXfs>
  <cellXfs count="8">
    <xf fontId="0" fillId="0" borderId="0" numFmtId="0" xfId="0"/>
    <xf fontId="0" fillId="33" borderId="0" numFmtId="0" xfId="0" applyFill="1"/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 wrapText="1"/>
    </xf>
    <xf fontId="0" fillId="0" borderId="0" numFmtId="0" xfId="0" applyAlignment="1">
      <alignment horizontal="center" vertical="center"/>
    </xf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</cellXfs>
  <cellStyles count="47">
    <cellStyle name="20% - Акцент1" xfId="1" builtinId="30"/>
    <cellStyle name="20% - Акцент2" xfId="2" builtinId="34"/>
    <cellStyle name="20% - Акцент3" xfId="3" builtinId="38"/>
    <cellStyle name="20% - Акцент4" xfId="4" builtinId="42"/>
    <cellStyle name="20% - Акцент5" xfId="5" builtinId="46"/>
    <cellStyle name="20% - Акцент6" xfId="6" builtinId="50"/>
    <cellStyle name="40% - Акцент1" xfId="7" builtinId="31"/>
    <cellStyle name="40% - Акцент2" xfId="8" builtinId="35"/>
    <cellStyle name="40% - Акцент3" xfId="9" builtinId="39"/>
    <cellStyle name="40% - Акцент4" xfId="10" builtinId="43"/>
    <cellStyle name="40% - Акцент5" xfId="11" builtinId="47"/>
    <cellStyle name="40% - Акцент6" xfId="12" builtinId="51"/>
    <cellStyle name="60% - Акцент1" xfId="13" builtinId="32"/>
    <cellStyle name="60% - Акцент2" xfId="14" builtinId="36"/>
    <cellStyle name="60% - Акцент3" xfId="15" builtinId="40"/>
    <cellStyle name="60% - Акцент4" xfId="16" builtinId="44"/>
    <cellStyle name="60% - Акцент5" xfId="17" builtinId="48"/>
    <cellStyle name="60% -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Денежный [0]" xfId="29" builtinId="7"/>
    <cellStyle name="Заголовок 1" xfId="30" builtinId="16"/>
    <cellStyle name="Заголовок 2" xfId="31" builtinId="17"/>
    <cellStyle name="Заголовок 3" xfId="32" builtinId="18"/>
    <cellStyle name="Заголовок 4" xfId="33" builtinId="19"/>
    <cellStyle name="Итог" xfId="34" builtinId="25"/>
    <cellStyle name="Контрольная ячейка" xfId="35" builtinId="23"/>
    <cellStyle name="Название" xfId="36" builtinId="15"/>
    <cellStyle name="Нейтральный" xfId="37" builtinId="28"/>
    <cellStyle name="Обычный" xfId="0" builtinId="0"/>
    <cellStyle name="Плохой" xfId="38" builtinId="27"/>
    <cellStyle name="Пояснение" xfId="39" builtinId="53"/>
    <cellStyle name="Примечание" xfId="40" builtinId="10"/>
    <cellStyle name="Процентный" xfId="41" builtinId="5"/>
    <cellStyle name="Связанная ячейка" xfId="42" builtinId="24"/>
    <cellStyle name="Текст предупреждения" xfId="43" builtinId="11"/>
    <cellStyle name="Финансовый" xfId="44" builtinId="3"/>
    <cellStyle name="Финансовый [0]" xfId="45" builtinId="6"/>
    <cellStyle name="Хороший" xfId="46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 customHeight="1"/>
  <cols>
    <col customWidth="1" min="1" max="3" width="15.2852"/>
    <col min="5" max="6" style="1" width="9.140625"/>
  </cols>
  <sheetData>
    <row r="1" ht="48" customHeight="1">
      <c r="A1" s="2" t="s">
        <v>0</v>
      </c>
      <c r="B1" s="2" t="s">
        <v>1</v>
      </c>
      <c r="C1" s="3" t="s">
        <v>2</v>
      </c>
      <c r="E1" s="1" t="s">
        <v>3</v>
      </c>
      <c r="G1" t="s">
        <v>4</v>
      </c>
      <c r="H1" t="s">
        <v>5</v>
      </c>
      <c r="I1" t="s">
        <v>6</v>
      </c>
    </row>
    <row r="2" ht="15">
      <c r="A2" s="4">
        <v>112</v>
      </c>
      <c r="B2" s="4">
        <v>1</v>
      </c>
      <c r="C2" s="4">
        <v>0</v>
      </c>
      <c r="E2" s="1">
        <f ca="1">VLOOKUP(C2,$A:$H,8,0)</f>
        <v>6</v>
      </c>
      <c r="F2" s="1">
        <f ca="1">VLOOKUP(D2,$A:$H,8,0)</f>
        <v>6</v>
      </c>
      <c r="G2" s="5">
        <f>MAX(E2:F2)+1</f>
        <v>7</v>
      </c>
      <c r="H2" s="5">
        <f>G2+B2-1</f>
        <v>7</v>
      </c>
      <c r="I2">
        <v>1</v>
      </c>
    </row>
    <row r="3" ht="15">
      <c r="A3" s="4">
        <v>114</v>
      </c>
      <c r="B3" s="4">
        <v>2</v>
      </c>
      <c r="C3" s="4">
        <v>0</v>
      </c>
      <c r="E3" s="1">
        <f ca="1">VLOOKUP(C3,$A:$H,8,0)</f>
        <v>6</v>
      </c>
      <c r="F3" s="1">
        <f ca="1">VLOOKUP(D3,$A:$H,8,0)</f>
        <v>6</v>
      </c>
      <c r="G3" s="6">
        <f>MAX(E3:F3)+1</f>
        <v>7</v>
      </c>
      <c r="H3" s="6">
        <f>G3+B3-1</f>
        <v>8</v>
      </c>
      <c r="I3" s="6">
        <v>1</v>
      </c>
    </row>
    <row r="4" ht="15">
      <c r="A4" s="4">
        <v>103</v>
      </c>
      <c r="B4" s="4">
        <v>1</v>
      </c>
      <c r="C4" s="4">
        <v>114</v>
      </c>
      <c r="E4" s="1">
        <f ca="1">VLOOKUP(C4,$A:$H,8,0)</f>
        <v>8</v>
      </c>
      <c r="F4" s="1">
        <f ca="1">VLOOKUP(D4,$A:$H,8,0)</f>
        <v>0</v>
      </c>
      <c r="G4" s="6">
        <f>MAX(E4:F4)+1</f>
        <v>9</v>
      </c>
      <c r="H4" s="6">
        <f>G4+B4-1</f>
        <v>9</v>
      </c>
      <c r="I4" s="6">
        <v>1</v>
      </c>
    </row>
    <row r="5" ht="15">
      <c r="A5" s="4">
        <v>107</v>
      </c>
      <c r="B5" s="4">
        <v>3</v>
      </c>
      <c r="C5" s="4">
        <v>0</v>
      </c>
      <c r="E5" s="1">
        <f ca="1">VLOOKUP(C5,$A:$H,8,0)</f>
        <v>6</v>
      </c>
      <c r="F5" s="1">
        <f ca="1">VLOOKUP(D5,$A:$H,8,0)</f>
        <v>6</v>
      </c>
      <c r="G5" s="6">
        <f>MAX(E5:F5)+1</f>
        <v>7</v>
      </c>
      <c r="H5" s="6">
        <f>G5+B5-1</f>
        <v>9</v>
      </c>
      <c r="I5" s="6">
        <v>1</v>
      </c>
    </row>
    <row r="6" ht="15">
      <c r="A6" s="4">
        <v>120</v>
      </c>
      <c r="B6" s="4">
        <v>2</v>
      </c>
      <c r="C6" s="4">
        <v>114</v>
      </c>
      <c r="D6"/>
      <c r="E6" s="1">
        <f ca="1">VLOOKUP(C6,$A:$H,8,0)</f>
        <v>6</v>
      </c>
      <c r="F6" s="1">
        <f ca="1">VLOOKUP(D6,$A:$H,8,0)</f>
        <v>6</v>
      </c>
      <c r="G6" s="6">
        <f>MAX(E6:F6)+1</f>
        <v>7</v>
      </c>
      <c r="H6" s="6">
        <f>G6+B6-1</f>
        <v>8</v>
      </c>
      <c r="I6" s="6">
        <v>1</v>
      </c>
    </row>
    <row r="7" ht="15">
      <c r="A7" s="4">
        <v>116</v>
      </c>
      <c r="B7" s="4">
        <v>5</v>
      </c>
      <c r="C7" s="4">
        <v>107</v>
      </c>
      <c r="D7"/>
      <c r="E7" s="1">
        <f ca="1">VLOOKUP(C7,$A:$H,8,0)</f>
        <v>6</v>
      </c>
      <c r="F7" s="1">
        <f ca="1">VLOOKUP(D7,$A:$H,8,0)</f>
        <v>6</v>
      </c>
      <c r="G7" s="6">
        <f>MAX(E7:F7)+1</f>
        <v>7</v>
      </c>
      <c r="H7" s="6">
        <f>G7+B7-1</f>
        <v>11</v>
      </c>
      <c r="I7" s="6">
        <v>1</v>
      </c>
    </row>
    <row r="8" ht="15">
      <c r="A8" s="4">
        <v>125</v>
      </c>
      <c r="B8" s="4">
        <v>5</v>
      </c>
      <c r="C8" s="4">
        <v>112</v>
      </c>
      <c r="D8" s="7">
        <v>107</v>
      </c>
      <c r="E8" s="1">
        <f ca="1">VLOOKUP(C8,$A:$H,8,0)</f>
        <v>6</v>
      </c>
      <c r="F8" s="1">
        <f ca="1">VLOOKUP(D8,$A:$H,8,0)</f>
        <v>6</v>
      </c>
      <c r="G8" s="6">
        <f>MAX(E8:F8)+1</f>
        <v>7</v>
      </c>
      <c r="H8" s="6">
        <f>G8+B8-1</f>
        <v>11</v>
      </c>
      <c r="I8" s="6">
        <v>1</v>
      </c>
    </row>
    <row r="9" ht="15">
      <c r="A9" s="4">
        <v>118</v>
      </c>
      <c r="B9" s="4">
        <v>1</v>
      </c>
      <c r="C9" s="4">
        <v>125</v>
      </c>
      <c r="D9"/>
      <c r="E9" s="1">
        <f ca="1">VLOOKUP(C9,$A:$H,8,0)</f>
        <v>6</v>
      </c>
      <c r="F9" s="1">
        <f ca="1">VLOOKUP(D9,$A:$H,8,0)</f>
        <v>6</v>
      </c>
      <c r="G9" s="6">
        <f>MAX(E9:F9)+1</f>
        <v>7</v>
      </c>
      <c r="H9" s="6">
        <f>G9+B9-1</f>
        <v>7</v>
      </c>
      <c r="I9" s="6">
        <v>1</v>
      </c>
    </row>
    <row r="10" ht="15">
      <c r="A10" s="4">
        <v>109</v>
      </c>
      <c r="B10" s="4">
        <v>2</v>
      </c>
      <c r="C10" s="4">
        <v>107</v>
      </c>
      <c r="D10">
        <v>125</v>
      </c>
      <c r="E10" s="1">
        <f ca="1">VLOOKUP(C10,$A:$H,8,0)</f>
        <v>9</v>
      </c>
      <c r="F10" s="1">
        <f ca="1">VLOOKUP(D10,$A:$H,8,0)</f>
        <v>11</v>
      </c>
      <c r="G10" s="6">
        <f>MAX(E10:F10)+1</f>
        <v>12</v>
      </c>
      <c r="H10" s="6">
        <f>G10+B10-1</f>
        <v>13</v>
      </c>
      <c r="I10" s="6">
        <v>1</v>
      </c>
    </row>
    <row r="11" ht="15">
      <c r="A11" s="4">
        <v>113</v>
      </c>
      <c r="B11" s="4">
        <v>6</v>
      </c>
      <c r="C11" s="4">
        <v>120</v>
      </c>
      <c r="D11"/>
      <c r="E11" s="1">
        <f ca="1">VLOOKUP(C11,$A:$H,8,0)</f>
        <v>6</v>
      </c>
      <c r="F11" s="1">
        <f ca="1">VLOOKUP(D11,$A:$H,8,0)</f>
        <v>6</v>
      </c>
      <c r="G11" s="6">
        <f>MAX(E11:F11)+1</f>
        <v>7</v>
      </c>
      <c r="H11" s="6">
        <f>G11+B11-1</f>
        <v>12</v>
      </c>
      <c r="I11" s="6">
        <v>1</v>
      </c>
    </row>
    <row r="12" ht="15">
      <c r="A12" s="4">
        <v>102</v>
      </c>
      <c r="B12" s="4">
        <v>3</v>
      </c>
      <c r="C12" s="4">
        <v>116</v>
      </c>
      <c r="D12"/>
      <c r="E12" s="1">
        <f ca="1">VLOOKUP(C12,$A:$H,8,0)</f>
        <v>11</v>
      </c>
      <c r="F12" s="1">
        <f ca="1">VLOOKUP(D12,$A:$H,8,0)</f>
        <v>0</v>
      </c>
      <c r="G12" s="6">
        <f>MAX(E12:F12)+1</f>
        <v>12</v>
      </c>
      <c r="H12" s="6">
        <f>G12+B12-1</f>
        <v>14</v>
      </c>
      <c r="I12" s="6">
        <v>1</v>
      </c>
    </row>
    <row r="13" ht="15">
      <c r="A13" s="4">
        <v>108</v>
      </c>
      <c r="B13" s="4">
        <v>1</v>
      </c>
      <c r="C13" s="4">
        <v>120</v>
      </c>
      <c r="D13" s="7">
        <v>109</v>
      </c>
      <c r="E13" s="1">
        <f ca="1">VLOOKUP(C13,$A:$H,8,0)</f>
        <v>8</v>
      </c>
      <c r="F13" s="1">
        <f ca="1">VLOOKUP(D13,$A:$H,8,0)</f>
        <v>13</v>
      </c>
      <c r="G13" s="6">
        <f>MAX(E13:F13)+1</f>
        <v>14</v>
      </c>
      <c r="H13" s="6">
        <f>G13+B13-1</f>
        <v>14</v>
      </c>
      <c r="I13" s="6">
        <v>1</v>
      </c>
    </row>
    <row r="14" ht="15">
      <c r="A14" s="4">
        <v>105</v>
      </c>
      <c r="B14" s="4">
        <v>4</v>
      </c>
      <c r="C14" s="4">
        <v>125</v>
      </c>
      <c r="D14" s="7">
        <v>107</v>
      </c>
      <c r="E14" s="1">
        <f ca="1">VLOOKUP(C14,$A:$H,8,0)</f>
        <v>11</v>
      </c>
      <c r="F14" s="1">
        <f ca="1">VLOOKUP(D14,$A:$H,8,0)</f>
        <v>9</v>
      </c>
      <c r="G14" s="6">
        <f>MAX(E14:F14)+1</f>
        <v>12</v>
      </c>
      <c r="H14" s="6">
        <f>G14+B14-1</f>
        <v>15</v>
      </c>
      <c r="I14" s="6">
        <v>1</v>
      </c>
    </row>
    <row r="15" ht="15">
      <c r="A15" s="4">
        <v>117</v>
      </c>
      <c r="B15" s="4">
        <v>6</v>
      </c>
      <c r="C15" s="4">
        <v>125</v>
      </c>
      <c r="E15" s="1">
        <f ca="1">VLOOKUP(C15,$A:$H,8,0)</f>
        <v>6</v>
      </c>
      <c r="F15" s="1">
        <f ca="1">VLOOKUP(D15,$A:$H,8,0)</f>
        <v>6</v>
      </c>
      <c r="G15" s="6">
        <f>MAX(E15:F15)+1</f>
        <v>7</v>
      </c>
      <c r="H15" s="6">
        <f>G15+B15-1</f>
        <v>12</v>
      </c>
      <c r="I15" s="6">
        <v>1</v>
      </c>
    </row>
    <row r="16" ht="15">
      <c r="A16" s="4">
        <v>124</v>
      </c>
      <c r="B16" s="4">
        <v>6</v>
      </c>
      <c r="C16" s="4">
        <v>125</v>
      </c>
      <c r="D16" s="7">
        <v>120</v>
      </c>
      <c r="E16" s="1">
        <f ca="1">VLOOKUP(C16,$A:$H,8,0)</f>
        <v>6</v>
      </c>
      <c r="F16" s="1">
        <f ca="1">VLOOKUP(D16,$A:$H,8,0)</f>
        <v>6</v>
      </c>
      <c r="G16" s="6">
        <f>MAX(E16:F16)+1</f>
        <v>7</v>
      </c>
      <c r="H16" s="6">
        <f>G16+B16-1</f>
        <v>12</v>
      </c>
      <c r="I16" s="6">
        <v>1</v>
      </c>
    </row>
    <row r="17" ht="15">
      <c r="A17" s="4">
        <v>106</v>
      </c>
      <c r="B17" s="4">
        <v>6</v>
      </c>
      <c r="C17" s="4">
        <v>118</v>
      </c>
      <c r="D17" s="7">
        <v>120</v>
      </c>
      <c r="E17" s="1">
        <f ca="1">VLOOKUP(C17,$A:$H,8,0)</f>
        <v>7</v>
      </c>
      <c r="F17" s="1">
        <f ca="1">VLOOKUP(D17,$A:$H,8,0)</f>
        <v>8</v>
      </c>
      <c r="G17" s="6">
        <f>MAX(E17:F17)+1</f>
        <v>9</v>
      </c>
      <c r="H17" s="6">
        <f>G17+B17-1</f>
        <v>14</v>
      </c>
      <c r="I17" s="6">
        <v>1</v>
      </c>
    </row>
    <row r="18" ht="15">
      <c r="A18" s="4">
        <v>115</v>
      </c>
      <c r="B18" s="4">
        <v>4</v>
      </c>
      <c r="C18" s="4">
        <v>102</v>
      </c>
      <c r="E18" s="1">
        <f ca="1">VLOOKUP(C18,$A:$H,8,0)</f>
        <v>14</v>
      </c>
      <c r="F18" s="1">
        <f ca="1">VLOOKUP(D18,$A:$H,8,0)</f>
        <v>0</v>
      </c>
      <c r="G18" s="6">
        <f>MAX(E18:F18)+1</f>
        <v>15</v>
      </c>
      <c r="H18" s="6">
        <f>G18+B18-1</f>
        <v>18</v>
      </c>
      <c r="I18" s="6">
        <v>1</v>
      </c>
    </row>
    <row r="19" ht="15">
      <c r="A19" s="4">
        <v>121</v>
      </c>
      <c r="B19" s="4">
        <v>3</v>
      </c>
      <c r="C19" s="4">
        <v>118</v>
      </c>
      <c r="D19" s="7">
        <v>124</v>
      </c>
      <c r="E19" s="1">
        <f ca="1">VLOOKUP(C19,$A:$H,8,0)</f>
        <v>6</v>
      </c>
      <c r="F19" s="1">
        <f ca="1">VLOOKUP(D19,$A:$H,8,0)</f>
        <v>6</v>
      </c>
      <c r="G19" s="6">
        <f>MAX(E19:F19)+1</f>
        <v>7</v>
      </c>
      <c r="H19" s="6">
        <f>G19+B19-1</f>
        <v>9</v>
      </c>
      <c r="I19" s="6">
        <v>1</v>
      </c>
    </row>
    <row r="20" ht="15">
      <c r="A20" s="4">
        <v>123</v>
      </c>
      <c r="B20" s="4">
        <v>6</v>
      </c>
      <c r="C20" s="4">
        <v>114</v>
      </c>
      <c r="D20" s="7">
        <v>105</v>
      </c>
      <c r="E20" s="1">
        <f ca="1">VLOOKUP(C20,$A:$H,8,0)</f>
        <v>6</v>
      </c>
      <c r="F20" s="1">
        <f ca="1">VLOOKUP(D20,$A:$H,8,0)</f>
        <v>6</v>
      </c>
      <c r="G20" s="6">
        <f>MAX(E20:F20)+1</f>
        <v>7</v>
      </c>
      <c r="H20" s="6">
        <f>G20+B20-1</f>
        <v>12</v>
      </c>
      <c r="I20" s="6">
        <v>1</v>
      </c>
    </row>
    <row r="21" ht="15">
      <c r="A21" s="4">
        <v>111</v>
      </c>
      <c r="B21" s="4">
        <v>1</v>
      </c>
      <c r="C21" s="4">
        <v>105</v>
      </c>
      <c r="D21" s="7">
        <v>123</v>
      </c>
      <c r="E21" s="1">
        <f ca="1">VLOOKUP(C21,$A:$H,8,0)</f>
        <v>15</v>
      </c>
      <c r="F21" s="1">
        <f ca="1">VLOOKUP(D21,$A:$H,8,0)</f>
        <v>12</v>
      </c>
      <c r="G21" s="6">
        <f>MAX(E21:F21)+1</f>
        <v>16</v>
      </c>
      <c r="H21" s="6">
        <f>G21+B21-1</f>
        <v>16</v>
      </c>
      <c r="I21" s="6">
        <v>1</v>
      </c>
    </row>
    <row r="22" ht="15">
      <c r="A22" s="4">
        <v>119</v>
      </c>
      <c r="B22" s="4">
        <v>1</v>
      </c>
      <c r="C22" s="4">
        <v>123</v>
      </c>
      <c r="D22"/>
      <c r="E22" s="1">
        <f ca="1">VLOOKUP(C22,$A:$H,8,0)</f>
        <v>12</v>
      </c>
      <c r="F22" s="1">
        <f ca="1">VLOOKUP(D22,$A:$H,8,0)</f>
        <v>0</v>
      </c>
      <c r="G22" s="6">
        <f>MAX(E22:F22)+1</f>
        <v>13</v>
      </c>
      <c r="H22" s="6">
        <f>G22+B22-1</f>
        <v>13</v>
      </c>
      <c r="I22" s="6">
        <v>1</v>
      </c>
    </row>
    <row r="23" ht="15">
      <c r="A23" s="4">
        <v>104</v>
      </c>
      <c r="B23" s="4">
        <v>1</v>
      </c>
      <c r="C23" s="4">
        <v>111</v>
      </c>
      <c r="D23"/>
      <c r="E23" s="1">
        <f ca="1">VLOOKUP(C23,$A:$H,8,0)</f>
        <v>16</v>
      </c>
      <c r="F23" s="1">
        <f ca="1">VLOOKUP(D23,$A:$H,8,0)</f>
        <v>0</v>
      </c>
      <c r="G23" s="6">
        <f>MAX(E23:F23)+1</f>
        <v>17</v>
      </c>
      <c r="H23" s="6">
        <f>G23+B23-1</f>
        <v>17</v>
      </c>
      <c r="I23" s="6">
        <v>1</v>
      </c>
    </row>
    <row r="24" ht="15">
      <c r="A24" s="4">
        <v>101</v>
      </c>
      <c r="B24" s="4">
        <v>6</v>
      </c>
      <c r="C24" s="4">
        <v>106</v>
      </c>
      <c r="D24"/>
      <c r="E24" s="1">
        <f ca="1">VLOOKUP(C24,$A:$H,8,0)</f>
        <v>14</v>
      </c>
      <c r="F24" s="1">
        <f ca="1">VLOOKUP(D24,$A:$H,8,0)</f>
        <v>0</v>
      </c>
      <c r="G24">
        <f>MAX(E24:F24)+1</f>
        <v>15</v>
      </c>
      <c r="H24">
        <f>G24+B24-1</f>
        <v>20</v>
      </c>
      <c r="I24" s="6">
        <v>1</v>
      </c>
    </row>
    <row r="25" ht="15">
      <c r="A25" s="4">
        <v>110</v>
      </c>
      <c r="B25" s="4">
        <v>3</v>
      </c>
      <c r="C25" s="4">
        <v>123</v>
      </c>
      <c r="D25">
        <v>111</v>
      </c>
      <c r="E25" s="1">
        <f ca="1">VLOOKUP(C25,$A:$H,8,0)</f>
        <v>12</v>
      </c>
      <c r="F25" s="1">
        <f ca="1">VLOOKUP(D25,$A:$H,8,0)</f>
        <v>16</v>
      </c>
      <c r="G25" s="6">
        <f>MAX(E25:F25)+1</f>
        <v>17</v>
      </c>
      <c r="H25" s="6">
        <f>G25+B25-1</f>
        <v>19</v>
      </c>
      <c r="I25" s="6">
        <v>1</v>
      </c>
    </row>
    <row r="26" ht="15">
      <c r="A26" s="4">
        <v>122</v>
      </c>
      <c r="B26" s="4">
        <v>3</v>
      </c>
      <c r="C26" s="4">
        <v>112</v>
      </c>
      <c r="D26">
        <v>119</v>
      </c>
      <c r="E26" s="1">
        <f ca="1">VLOOKUP(C26,$A:$H,8,0)</f>
        <v>7</v>
      </c>
      <c r="F26" s="1">
        <f ca="1">VLOOKUP(D26,$A:$H,8,0)</f>
        <v>13</v>
      </c>
      <c r="G26" s="6">
        <f>MAX(E26:F26)+1</f>
        <v>14</v>
      </c>
      <c r="H26" s="6">
        <f>G26+B26-1</f>
        <v>16</v>
      </c>
      <c r="I26" s="6">
        <v>1</v>
      </c>
    </row>
    <row r="27" ht="15" customHeight="1">
      <c r="A27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90" firstPageNumber="1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FIPI</Company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revision>1</cp:revision>
  <dcterms:created xsi:type="dcterms:W3CDTF">2025-01-24T09:11:00Z</dcterms:created>
  <dcterms:modified xsi:type="dcterms:W3CDTF">2026-03-06T12:23:43Z</dcterms:modified>
  <cp:version>786432</cp:version>
</cp:coreProperties>
</file>