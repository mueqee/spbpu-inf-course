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hidePivotFieldList="0"/>
  <workbookProtection lockStructure="0" lockWindows="0" workbookPassword="0000"/>
  <bookViews>
    <workbookView xWindow="360" yWindow="15" windowWidth="20955" windowHeight="9720" activeTab="0"/>
  </bookViews>
  <sheets>
    <sheet name="Лист1 (4)" sheetId="1" state="visible" r:id="rId1"/>
    <sheet name="Лист1 (3)" sheetId="2" state="visible" r:id="rId2"/>
    <sheet name="Лист1 (2)" sheetId="3" state="visible" r:id="rId3"/>
    <sheet name="Лист1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<sst xmlns="http://schemas.openxmlformats.org/spreadsheetml/2006/main" count="17" uniqueCount="17">
  <si>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ID</t>
  </si>
  <si>
    <t>Время</t>
  </si>
  <si>
    <t xml:space="preserve">ID  влияющих</t>
  </si>
  <si>
    <t xml:space="preserve">время влияющих</t>
  </si>
  <si>
    <t>начало</t>
  </si>
  <si>
    <t>конец</t>
  </si>
  <si>
    <t xml:space="preserve">t влияющ</t>
  </si>
  <si>
    <t>Начало</t>
  </si>
  <si>
    <t>Конец</t>
  </si>
  <si>
    <t xml:space="preserve">1; 2</t>
  </si>
  <si>
    <t>3;4</t>
  </si>
  <si>
    <t>6;7</t>
  </si>
  <si>
    <t>12;13;14</t>
  </si>
  <si>
    <t>10;9</t>
  </si>
  <si>
    <t xml:space="preserve">ID процесса B</t>
  </si>
  <si>
    <t xml:space="preserve">Время выполнения процесса B (мс)</t>
  </si>
  <si>
    <t xml:space="preserve">ID процессов 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</si>
</sst>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_-* #,##0.00\ &quot;₽&quot;_-;\-* #,##0.00\ &quot;₽&quot;_-;_-* &quot;-&quot;??\ &quot;₽&quot;_-;_-@_-"/>
    <numFmt numFmtId="165" formatCode="_-* #,##0\ &quot;₽&quot;_-;\-* #,##0\ &quot;₽&quot;_-;_-* &quot;-&quot;\ &quot;₽&quot;_-;_-@_-"/>
    <numFmt numFmtId="166" formatCode="_-* #,##0.00\ _₽_-;\-* #,##0.00\ _₽_-;_-* &quot;-&quot;??\ _₽_-;_-@_-"/>
    <numFmt numFmtId="167" formatCode="_-* #,##0\ _₽_-;\-* #,##0\ _₽_-;_-* &quot;-&quot;\ _₽_-;_-@_-"/>
  </numFmts>
  <fonts count="18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3F3F76"/>
      <name val="Calibri"/>
      <scheme val="minor"/>
    </font>
    <font>
      <b/>
      <sz val="11.000000"/>
      <color rgb="FF3F3F3F"/>
      <name val="Calibri"/>
      <scheme val="minor"/>
    </font>
    <font>
      <b/>
      <sz val="11.000000"/>
      <color rgb="FFFA7D00"/>
      <name val="Calibri"/>
      <scheme val="minor"/>
    </font>
    <font>
      <sz val="11.000000"/>
      <color indexed="64"/>
      <name val="Calibri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b/>
      <sz val="11.000000"/>
      <color theme="1" tint="0"/>
      <name val="Calibri"/>
      <scheme val="minor"/>
    </font>
    <font>
      <b/>
      <sz val="11.000000"/>
      <color theme="0" tint="0"/>
      <name val="Calibri"/>
      <scheme val="minor"/>
    </font>
    <font>
      <b/>
      <sz val="18.000000"/>
      <color theme="3" tint="0"/>
      <name val="Calibri Light"/>
      <scheme val="major"/>
    </font>
    <font>
      <sz val="11.000000"/>
      <color rgb="FF9C6500"/>
      <name val="Calibri"/>
      <scheme val="minor"/>
    </font>
    <font>
      <sz val="11.000000"/>
      <color rgb="FF9C0006"/>
      <name val="Calibri"/>
      <scheme val="minor"/>
    </font>
    <font>
      <i/>
      <sz val="11.000000"/>
      <color rgb="FF7F7F7F"/>
      <name val="Calibri"/>
      <scheme val="minor"/>
    </font>
    <font>
      <sz val="11.000000"/>
      <color rgb="FFFA7D00"/>
      <name val="Calibri"/>
      <scheme val="minor"/>
    </font>
    <font>
      <sz val="11.000000"/>
      <color indexed="2"/>
      <name val="Calibri"/>
      <scheme val="minor"/>
    </font>
    <font>
      <sz val="11.000000"/>
      <color rgb="FF006100"/>
      <name val="Calibri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.59999389629810485"/>
        <bgColor theme="9" tint="0.59999389629810485"/>
      </patternFill>
    </fill>
  </fills>
  <borders count="1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</borders>
  <cellStyleXfs count="47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1" numFmtId="0" applyNumberFormat="1" applyFont="1" applyFill="1" applyBorder="1"/>
    <xf fontId="3" fillId="27" borderId="2" numFmtId="0" applyNumberFormat="1" applyFont="1" applyFill="1" applyBorder="1"/>
    <xf fontId="4" fillId="27" borderId="1" numFmtId="0" applyNumberFormat="1" applyFont="1" applyFill="1" applyBorder="1"/>
    <xf fontId="5" fillId="0" borderId="0" numFmtId="164" applyNumberFormat="1" applyFont="1" applyFill="1" applyBorder="1"/>
    <xf fontId="5" fillId="0" borderId="0" numFmtId="165" applyNumberFormat="1" applyFont="1" applyFill="1" applyBorder="1"/>
    <xf fontId="6" fillId="0" borderId="3" numFmtId="0" applyNumberFormat="1" applyFont="1" applyFill="1" applyBorder="1"/>
    <xf fontId="7" fillId="0" borderId="4" numFmtId="0" applyNumberFormat="1" applyFont="1" applyFill="1" applyBorder="1"/>
    <xf fontId="8" fillId="0" borderId="5" numFmtId="0" applyNumberFormat="1" applyFont="1" applyFill="1" applyBorder="1"/>
    <xf fontId="8" fillId="0" borderId="0" numFmtId="0" applyNumberFormat="1" applyFont="1" applyFill="1" applyBorder="1"/>
    <xf fontId="9" fillId="0" borderId="6" numFmtId="0" applyNumberFormat="1" applyFont="1" applyFill="1" applyBorder="1"/>
    <xf fontId="10" fillId="28" borderId="7" numFmtId="0" applyNumberFormat="1" applyFont="1" applyFill="1" applyBorder="1"/>
    <xf fontId="11" fillId="0" borderId="0" numFmtId="0" applyNumberFormat="1" applyFont="1" applyFill="1" applyBorder="1"/>
    <xf fontId="12" fillId="29" borderId="0" numFmtId="0" applyNumberFormat="1" applyFont="1" applyFill="1" applyBorder="1"/>
    <xf fontId="13" fillId="30" borderId="0" numFmtId="0" applyNumberFormat="1" applyFont="1" applyFill="1" applyBorder="1"/>
    <xf fontId="14" fillId="0" borderId="0" numFmtId="0" applyNumberFormat="1" applyFont="1" applyFill="1" applyBorder="1"/>
    <xf fontId="5" fillId="31" borderId="8" numFmtId="0" applyNumberFormat="1" applyFont="1" applyFill="1" applyBorder="1"/>
    <xf fontId="5" fillId="0" borderId="0" numFmtId="9" applyNumberFormat="1" applyFont="1" applyFill="1" applyBorder="1"/>
    <xf fontId="15" fillId="0" borderId="9" numFmtId="0" applyNumberFormat="1" applyFont="1" applyFill="1" applyBorder="1"/>
    <xf fontId="16" fillId="0" borderId="0" numFmtId="0" applyNumberFormat="1" applyFont="1" applyFill="1" applyBorder="1"/>
    <xf fontId="5" fillId="0" borderId="0" numFmtId="166" applyNumberFormat="1" applyFont="1" applyFill="1" applyBorder="1"/>
    <xf fontId="5" fillId="0" borderId="0" numFmtId="167" applyNumberFormat="1" applyFont="1" applyFill="1" applyBorder="1"/>
    <xf fontId="17" fillId="32" borderId="0" numFmtId="0" applyNumberFormat="1" applyFont="1" applyFill="1" applyBorder="1"/>
  </cellStyleXfs>
  <cellXfs count="13">
    <xf fontId="0" fillId="0" borderId="0" numFmtId="0" xfId="0"/>
    <xf fontId="0" fillId="0" borderId="0" numFmtId="0" xfId="0" applyAlignment="1">
      <alignment wrapText="1"/>
    </xf>
    <xf fontId="0" fillId="0" borderId="0" numFmtId="0" xfId="0" applyAlignment="1">
      <alignment horizontal="center" wrapText="1"/>
    </xf>
    <xf fontId="0" fillId="0" borderId="0" numFmtId="0" xfId="0" applyAlignment="1">
      <alignment horizontal="center"/>
    </xf>
    <xf fontId="9" fillId="33" borderId="0" numFmtId="0" xfId="0" applyFont="1" applyFill="1" applyAlignment="1">
      <alignment horizontal="center"/>
    </xf>
    <xf fontId="0" fillId="34" borderId="0" numFmtId="0" xfId="0" applyFill="1" applyAlignment="1">
      <alignment horizontal="right"/>
    </xf>
    <xf fontId="0" fillId="34" borderId="0" numFmtId="0" xfId="0" applyFill="1"/>
    <xf fontId="0" fillId="0" borderId="0" numFmtId="0" xfId="0">
      <protection hidden="0" locked="1"/>
    </xf>
    <xf fontId="0" fillId="35" borderId="0" numFmtId="0" xfId="0" applyFill="1"/>
    <xf fontId="0" fillId="0" borderId="0" numFmtId="0" xfId="0" applyAlignment="1">
      <alignment wrapText="1"/>
    </xf>
    <xf fontId="0" fillId="0" borderId="0" numFmtId="0" xfId="0" applyAlignment="1">
      <alignment horizontal="right"/>
    </xf>
    <xf fontId="0" fillId="36" borderId="0" numFmtId="0" xfId="0" applyFill="1"/>
    <xf fontId="0" fillId="37" borderId="0" numFmtId="0" xfId="0" applyFill="1"/>
  </cellXfs>
  <cellStyles count="47">
    <cellStyle name="20% - Акцент1" xfId="1" builtinId="30"/>
    <cellStyle name="20% - Акцент2" xfId="2" builtinId="34"/>
    <cellStyle name="20% - Акцент3" xfId="3" builtinId="38"/>
    <cellStyle name="20% - Акцент4" xfId="4" builtinId="42"/>
    <cellStyle name="20% - Акцент5" xfId="5" builtinId="46"/>
    <cellStyle name="20% - Акцент6" xfId="6" builtinId="50"/>
    <cellStyle name="40% - Акцент1" xfId="7" builtinId="31"/>
    <cellStyle name="40% - Акцент2" xfId="8" builtinId="35"/>
    <cellStyle name="40% - Акцент3" xfId="9" builtinId="39"/>
    <cellStyle name="40% - Акцент4" xfId="10" builtinId="43"/>
    <cellStyle name="40% - Акцент5" xfId="11" builtinId="47"/>
    <cellStyle name="40% - Акцент6" xfId="12" builtinId="51"/>
    <cellStyle name="60% - Акцент1" xfId="13" builtinId="32"/>
    <cellStyle name="60% - Акцент2" xfId="14" builtinId="36"/>
    <cellStyle name="60% - Акцент3" xfId="15" builtinId="40"/>
    <cellStyle name="60% - Акцент4" xfId="16" builtinId="44"/>
    <cellStyle name="60% - Акцент5" xfId="17" builtinId="48"/>
    <cellStyle name="60% - Акцент6" xfId="18" builtinId="52"/>
    <cellStyle name="Акцент1" xfId="19" builtinId="29"/>
    <cellStyle name="Акцент2" xfId="20" builtinId="33"/>
    <cellStyle name="Акцент3" xfId="21" builtinId="37"/>
    <cellStyle name="Акцент4" xfId="22" builtinId="41"/>
    <cellStyle name="Акцент5" xfId="23" builtinId="45"/>
    <cellStyle name="Акцент6" xfId="24" builtinId="49"/>
    <cellStyle name="Ввод " xfId="25" builtinId="20"/>
    <cellStyle name="Вывод" xfId="26" builtinId="21"/>
    <cellStyle name="Вычисление" xfId="27" builtinId="22"/>
    <cellStyle name="Денежный" xfId="28" builtinId="4"/>
    <cellStyle name="Денежный [0]" xfId="29" builtinId="7"/>
    <cellStyle name="Заголовок 1" xfId="30" builtinId="16"/>
    <cellStyle name="Заголовок 2" xfId="31" builtinId="17"/>
    <cellStyle name="Заголовок 3" xfId="32" builtinId="18"/>
    <cellStyle name="Заголовок 4" xfId="33" builtinId="19"/>
    <cellStyle name="Итог" xfId="34" builtinId="25"/>
    <cellStyle name="Контрольная ячейка" xfId="35" builtinId="23"/>
    <cellStyle name="Название" xfId="36" builtinId="15"/>
    <cellStyle name="Нейтральный" xfId="37" builtinId="28"/>
    <cellStyle name="Обычный" xfId="0" builtinId="0"/>
    <cellStyle name="Плохой" xfId="38" builtinId="27"/>
    <cellStyle name="Пояснение" xfId="39" builtinId="53"/>
    <cellStyle name="Примечание" xfId="40" builtinId="10"/>
    <cellStyle name="Процентный" xfId="41" builtinId="5"/>
    <cellStyle name="Связанная ячейка" xfId="42" builtinId="24"/>
    <cellStyle name="Текст предупреждения" xfId="43" builtinId="11"/>
    <cellStyle name="Финансовый" xfId="44" builtinId="3"/>
    <cellStyle name="Финансовый [0]" xfId="45" builtinId="6"/>
    <cellStyle name="Хороший" xfId="46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 customHeight="1"/>
  <cols>
    <col customWidth="1" min="2" max="2" width="16.425799999999999"/>
    <col customWidth="1" min="3" max="3" width="14.140625"/>
  </cols>
  <sheetData>
    <row r="1" ht="15">
      <c r="A1" s="1" t="s">
        <v>0</v>
      </c>
      <c r="B1" s="1" t="s">
        <v>1</v>
      </c>
      <c r="C1" s="2" t="s">
        <v>2</v>
      </c>
      <c r="D1" s="2"/>
      <c r="E1" s="2"/>
      <c r="F1" s="3" t="s">
        <v>3</v>
      </c>
      <c r="G1" s="3"/>
      <c r="H1" s="3"/>
      <c r="I1" t="s">
        <v>4</v>
      </c>
      <c r="J1" t="s">
        <v>5</v>
      </c>
    </row>
    <row r="2" ht="15">
      <c r="A2" s="4">
        <v>1</v>
      </c>
      <c r="B2">
        <v>4</v>
      </c>
      <c r="C2" s="5">
        <v>0</v>
      </c>
      <c r="D2" s="6">
        <v>0</v>
      </c>
      <c r="E2" s="6">
        <v>0</v>
      </c>
      <c r="F2" s="7">
        <f ca="1">VLOOKUP(C2,$A:$J,10,0)</f>
        <v>0</v>
      </c>
      <c r="G2" s="7">
        <f ca="1">VLOOKUP(D2,$A:$J,10,0)</f>
        <v>0</v>
      </c>
      <c r="H2" s="7">
        <f ca="1">VLOOKUP(E2,$A:$J,10,0)</f>
        <v>0</v>
      </c>
      <c r="I2">
        <f>MAX(F2:H2)+1</f>
        <v>1</v>
      </c>
      <c r="J2">
        <f>I2+B2-1</f>
        <v>4</v>
      </c>
      <c r="L2" s="8">
        <f>MAX(J:J)</f>
        <v>10</v>
      </c>
    </row>
    <row r="3" ht="15">
      <c r="A3" s="4">
        <v>2</v>
      </c>
      <c r="B3">
        <v>2</v>
      </c>
      <c r="C3" s="5">
        <v>0</v>
      </c>
      <c r="D3" s="6">
        <v>0</v>
      </c>
      <c r="E3" s="6">
        <v>0</v>
      </c>
      <c r="F3" s="7">
        <f ca="1">VLOOKUP(C3,$A:$J,10,0)</f>
        <v>0</v>
      </c>
      <c r="G3" s="7">
        <f ca="1">VLOOKUP(D3,$A:$J,10,0)</f>
        <v>0</v>
      </c>
      <c r="H3" s="7">
        <f ca="1">VLOOKUP(E3,$A:$J,10,0)</f>
        <v>0</v>
      </c>
      <c r="I3">
        <f>MAX(F3:H3)+1</f>
        <v>1</v>
      </c>
      <c r="J3">
        <f>I3+B3-1</f>
        <v>2</v>
      </c>
    </row>
    <row r="4" ht="15">
      <c r="A4" s="4">
        <v>3</v>
      </c>
      <c r="B4">
        <v>8</v>
      </c>
      <c r="C4" s="5">
        <v>1</v>
      </c>
      <c r="D4" s="6">
        <v>2</v>
      </c>
      <c r="E4" s="6">
        <v>0</v>
      </c>
      <c r="F4" s="7">
        <f ca="1">VLOOKUP(C4,$A:$J,10,0)</f>
        <v>0</v>
      </c>
      <c r="G4" s="7">
        <f ca="1">VLOOKUP(D4,$A:$J,10,0)</f>
        <v>0</v>
      </c>
      <c r="H4" s="7">
        <f ca="1">VLOOKUP(E4,$A:$J,10,0)</f>
        <v>0</v>
      </c>
      <c r="I4">
        <f>MAX(F4:H4)+1</f>
        <v>1</v>
      </c>
      <c r="J4">
        <f>I4+B4-1</f>
        <v>8</v>
      </c>
    </row>
    <row r="5" ht="15">
      <c r="A5" s="4">
        <v>4</v>
      </c>
      <c r="B5">
        <v>5</v>
      </c>
      <c r="C5" s="5">
        <v>0</v>
      </c>
      <c r="D5" s="6">
        <v>0</v>
      </c>
      <c r="E5" s="6">
        <v>0</v>
      </c>
      <c r="F5" s="7">
        <f ca="1">VLOOKUP(C5,$A:$J,10,0)</f>
        <v>0</v>
      </c>
      <c r="G5" s="7">
        <f ca="1">VLOOKUP(D5,$A:$J,10,0)</f>
        <v>0</v>
      </c>
      <c r="H5" s="7">
        <f ca="1">VLOOKUP(E5,$A:$J,10,0)</f>
        <v>0</v>
      </c>
      <c r="I5">
        <f>MAX(F5:H5)+1</f>
        <v>1</v>
      </c>
      <c r="J5">
        <f>I5+B5-1</f>
        <v>5</v>
      </c>
    </row>
    <row r="6" ht="15">
      <c r="A6" s="4">
        <v>5</v>
      </c>
      <c r="B6">
        <v>7</v>
      </c>
      <c r="C6" s="5">
        <v>3</v>
      </c>
      <c r="D6" s="6">
        <v>4</v>
      </c>
      <c r="E6" s="6">
        <v>0</v>
      </c>
      <c r="F6" s="7">
        <f ca="1">VLOOKUP(C6,$A:$J,10,0)</f>
        <v>0</v>
      </c>
      <c r="G6" s="7">
        <f ca="1">VLOOKUP(D6,$A:$J,10,0)</f>
        <v>0</v>
      </c>
      <c r="H6" s="7">
        <f ca="1">VLOOKUP(E6,$A:$J,10,0)</f>
        <v>0</v>
      </c>
      <c r="I6">
        <f>MAX(F6:H6)+1</f>
        <v>1</v>
      </c>
      <c r="J6">
        <f>I6+B6-1</f>
        <v>7</v>
      </c>
    </row>
    <row r="7" ht="15">
      <c r="A7" s="4">
        <v>6</v>
      </c>
      <c r="B7">
        <v>9</v>
      </c>
      <c r="C7" s="5">
        <v>3</v>
      </c>
      <c r="D7" s="6">
        <v>0</v>
      </c>
      <c r="E7" s="6">
        <v>0</v>
      </c>
      <c r="F7" s="7">
        <f ca="1">VLOOKUP(C7,$A:$J,10,0)</f>
        <v>0</v>
      </c>
      <c r="G7" s="7">
        <f ca="1">VLOOKUP(D7,$A:$J,10,0)</f>
        <v>0</v>
      </c>
      <c r="H7" s="7">
        <f ca="1">VLOOKUP(E7,$A:$J,10,0)</f>
        <v>0</v>
      </c>
      <c r="I7">
        <f>MAX(F7:H7)+1</f>
        <v>1</v>
      </c>
      <c r="J7">
        <f>I7+B7-1</f>
        <v>9</v>
      </c>
    </row>
    <row r="8" ht="15">
      <c r="A8" s="4">
        <v>7</v>
      </c>
      <c r="B8">
        <v>10</v>
      </c>
      <c r="C8" s="5">
        <v>5</v>
      </c>
      <c r="D8" s="6">
        <v>0</v>
      </c>
      <c r="E8" s="6">
        <v>0</v>
      </c>
      <c r="F8" s="7">
        <f ca="1">VLOOKUP(C8,$A:$J,10,0)</f>
        <v>0</v>
      </c>
      <c r="G8" s="7">
        <f ca="1">VLOOKUP(D8,$A:$J,10,0)</f>
        <v>0</v>
      </c>
      <c r="H8" s="7">
        <f ca="1">VLOOKUP(E8,$A:$J,10,0)</f>
        <v>0</v>
      </c>
      <c r="I8">
        <f>MAX(F8:H8)+1</f>
        <v>1</v>
      </c>
      <c r="J8">
        <f>I8+B8-1</f>
        <v>10</v>
      </c>
    </row>
    <row r="9" ht="15">
      <c r="A9" s="4">
        <v>8</v>
      </c>
      <c r="B9">
        <v>5</v>
      </c>
      <c r="C9" s="5">
        <v>5</v>
      </c>
      <c r="D9" s="6">
        <v>0</v>
      </c>
      <c r="E9" s="6">
        <v>0</v>
      </c>
      <c r="F9" s="7">
        <f ca="1">VLOOKUP(C9,$A:$J,10,0)</f>
        <v>0</v>
      </c>
      <c r="G9" s="7">
        <f ca="1">VLOOKUP(D9,$A:$J,10,0)</f>
        <v>0</v>
      </c>
      <c r="H9" s="7">
        <f ca="1">VLOOKUP(E9,$A:$J,10,0)</f>
        <v>0</v>
      </c>
      <c r="I9">
        <f>MAX(F9:H9)+1</f>
        <v>1</v>
      </c>
      <c r="J9">
        <f>I9+B9-1</f>
        <v>5</v>
      </c>
    </row>
    <row r="10" ht="15">
      <c r="A10" s="4">
        <v>9</v>
      </c>
      <c r="B10">
        <v>10</v>
      </c>
      <c r="C10" s="5">
        <v>8</v>
      </c>
      <c r="D10" s="6">
        <v>0</v>
      </c>
      <c r="E10" s="6">
        <v>0</v>
      </c>
      <c r="F10" s="7">
        <f ca="1">VLOOKUP(C10,$A:$J,10,0)</f>
        <v>0</v>
      </c>
      <c r="G10" s="7">
        <f ca="1">VLOOKUP(D10,$A:$J,10,0)</f>
        <v>0</v>
      </c>
      <c r="H10" s="7">
        <f ca="1">VLOOKUP(E10,$A:$J,10,0)</f>
        <v>0</v>
      </c>
      <c r="I10">
        <f>MAX(F10:H10)+1</f>
        <v>1</v>
      </c>
      <c r="J10">
        <f>I10+B10-1</f>
        <v>10</v>
      </c>
    </row>
    <row r="11" ht="15">
      <c r="A11" s="4">
        <v>10</v>
      </c>
      <c r="B11">
        <v>8</v>
      </c>
      <c r="C11" s="5">
        <v>7</v>
      </c>
      <c r="D11" s="6">
        <v>0</v>
      </c>
      <c r="E11" s="6">
        <v>0</v>
      </c>
      <c r="F11" s="7">
        <f ca="1">VLOOKUP(C11,$A:$J,10,0)</f>
        <v>0</v>
      </c>
      <c r="G11" s="7">
        <f ca="1">VLOOKUP(D11,$A:$J,10,0)</f>
        <v>0</v>
      </c>
      <c r="H11" s="7">
        <f ca="1">VLOOKUP(E11,$A:$J,10,0)</f>
        <v>0</v>
      </c>
      <c r="I11">
        <f>MAX(F11:H11)+1</f>
        <v>1</v>
      </c>
      <c r="J11">
        <f>I11+B11-1</f>
        <v>8</v>
      </c>
    </row>
    <row r="12" ht="15">
      <c r="A12" s="4">
        <v>11</v>
      </c>
      <c r="B12">
        <v>7</v>
      </c>
      <c r="C12" s="5">
        <v>6</v>
      </c>
      <c r="D12" s="6">
        <v>7</v>
      </c>
      <c r="E12" s="6">
        <v>0</v>
      </c>
      <c r="F12" s="7">
        <f ca="1">VLOOKUP(C12,$A:$J,10,0)</f>
        <v>0</v>
      </c>
      <c r="G12" s="7">
        <f ca="1">VLOOKUP(D12,$A:$J,10,0)</f>
        <v>0</v>
      </c>
      <c r="H12" s="7">
        <f ca="1">VLOOKUP(E12,$A:$J,10,0)</f>
        <v>0</v>
      </c>
      <c r="I12">
        <f>MAX(F12:H12)+1</f>
        <v>1</v>
      </c>
      <c r="J12">
        <f>I12+B12-1</f>
        <v>7</v>
      </c>
    </row>
    <row r="13" ht="15">
      <c r="A13" s="4">
        <v>12</v>
      </c>
      <c r="B13">
        <v>6</v>
      </c>
      <c r="C13" s="5">
        <v>11</v>
      </c>
      <c r="D13" s="6">
        <v>0</v>
      </c>
      <c r="E13" s="6">
        <v>0</v>
      </c>
      <c r="F13" s="7">
        <f ca="1">VLOOKUP(C13,$A:$J,10,0)</f>
        <v>0</v>
      </c>
      <c r="G13" s="7">
        <f ca="1">VLOOKUP(D13,$A:$J,10,0)</f>
        <v>0</v>
      </c>
      <c r="H13" s="7">
        <f ca="1">VLOOKUP(E13,$A:$J,10,0)</f>
        <v>0</v>
      </c>
      <c r="I13">
        <f>MAX(F13:H13)+1</f>
        <v>1</v>
      </c>
      <c r="J13">
        <f>I13+B13-1</f>
        <v>6</v>
      </c>
    </row>
    <row r="14" ht="15">
      <c r="A14" s="4">
        <v>13</v>
      </c>
      <c r="B14">
        <v>9</v>
      </c>
      <c r="C14" s="5">
        <v>11</v>
      </c>
      <c r="D14" s="6">
        <v>0</v>
      </c>
      <c r="E14" s="6">
        <v>0</v>
      </c>
      <c r="F14" s="7">
        <f ca="1">VLOOKUP(C14,$A:$J,10,0)</f>
        <v>0</v>
      </c>
      <c r="G14" s="7">
        <f ca="1">VLOOKUP(D14,$A:$J,10,0)</f>
        <v>0</v>
      </c>
      <c r="H14" s="7">
        <f ca="1">VLOOKUP(E14,$A:$J,10,0)</f>
        <v>0</v>
      </c>
      <c r="I14">
        <f>MAX(F14:H14)+1</f>
        <v>1</v>
      </c>
      <c r="J14">
        <f>I14+B14-1</f>
        <v>9</v>
      </c>
    </row>
    <row r="15" ht="15">
      <c r="A15" s="4">
        <v>14</v>
      </c>
      <c r="B15">
        <v>4</v>
      </c>
      <c r="C15" s="5">
        <v>11</v>
      </c>
      <c r="D15" s="6">
        <v>0</v>
      </c>
      <c r="E15" s="6">
        <v>0</v>
      </c>
      <c r="F15" s="7">
        <f ca="1">VLOOKUP(C15,$A:$J,10,0)</f>
        <v>0</v>
      </c>
      <c r="G15" s="7">
        <f ca="1">VLOOKUP(D15,$A:$J,10,0)</f>
        <v>0</v>
      </c>
      <c r="H15" s="7">
        <f ca="1">VLOOKUP(E15,$A:$J,10,0)</f>
        <v>0</v>
      </c>
      <c r="I15">
        <f>MAX(F15:H15)+1</f>
        <v>1</v>
      </c>
      <c r="J15">
        <f>I15+B15-1</f>
        <v>4</v>
      </c>
    </row>
    <row r="16" ht="15">
      <c r="A16" s="4">
        <v>15</v>
      </c>
      <c r="B16">
        <v>6</v>
      </c>
      <c r="C16" s="5">
        <v>12</v>
      </c>
      <c r="D16" s="6">
        <v>13</v>
      </c>
      <c r="E16" s="6">
        <v>14</v>
      </c>
      <c r="F16" s="7">
        <f ca="1">VLOOKUP(C16,$A:$J,10,0)</f>
        <v>0</v>
      </c>
      <c r="G16" s="7">
        <f ca="1">VLOOKUP(D16,$A:$J,10,0)</f>
        <v>0</v>
      </c>
      <c r="H16" s="7">
        <f ca="1">VLOOKUP(E16,$A:$J,10,0)</f>
        <v>0</v>
      </c>
      <c r="I16">
        <f>MAX(F16:H16)+1</f>
        <v>1</v>
      </c>
      <c r="J16">
        <f>I16+B16-1</f>
        <v>6</v>
      </c>
    </row>
    <row r="17" ht="15">
      <c r="A17" s="4">
        <v>16</v>
      </c>
      <c r="B17">
        <v>9</v>
      </c>
      <c r="C17" s="5">
        <v>10</v>
      </c>
      <c r="D17" s="6">
        <v>9</v>
      </c>
      <c r="E17" s="6">
        <v>0</v>
      </c>
      <c r="F17" s="7">
        <f ca="1">VLOOKUP(C17,$A:$J,10,0)</f>
        <v>0</v>
      </c>
      <c r="G17" s="7">
        <f ca="1">VLOOKUP(D17,$A:$J,10,0)</f>
        <v>0</v>
      </c>
      <c r="H17" s="7">
        <f ca="1">VLOOKUP(E17,$A:$J,10,0)</f>
        <v>0</v>
      </c>
      <c r="I17">
        <f>MAX(F17:H17)+1</f>
        <v>1</v>
      </c>
      <c r="J17">
        <f>I17+B17-1</f>
        <v>9</v>
      </c>
    </row>
    <row r="18" ht="15" customHeight="1">
      <c r="A18">
        <v>0</v>
      </c>
      <c r="B18" s="7">
        <v>0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</row>
    <row r="19" ht="15" customHeight="1">
      <c r="C19"/>
    </row>
  </sheetData>
  <mergeCells count="2">
    <mergeCell ref="C1:E1"/>
    <mergeCell ref="F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O1" zoomScale="100" workbookViewId="0">
      <selection activeCell="A1" activeCellId="0" sqref="A1"/>
    </sheetView>
  </sheetViews>
  <sheetFormatPr baseColWidth="8" defaultRowHeight="15" customHeight="1"/>
  <cols>
    <col customWidth="1" min="2" max="2" width="16.425799999999999"/>
    <col customWidth="1" min="3" max="3" width="14.140625"/>
    <col customWidth="1" min="4" max="4" width="14.57421875"/>
    <col customWidth="1" min="7" max="7" width="9.140625"/>
  </cols>
  <sheetData>
    <row r="1" ht="15">
      <c r="A1" s="1" t="s">
        <v>0</v>
      </c>
      <c r="B1" s="1" t="s">
        <v>1</v>
      </c>
      <c r="C1" s="1" t="s">
        <v>2</v>
      </c>
      <c r="D1" t="s">
        <v>6</v>
      </c>
      <c r="E1" t="s">
        <v>7</v>
      </c>
      <c r="F1" t="s">
        <v>8</v>
      </c>
      <c r="G1" s="9" t="s">
        <v>0</v>
      </c>
    </row>
    <row r="2" ht="15">
      <c r="A2" s="4">
        <v>1</v>
      </c>
      <c r="B2">
        <v>4</v>
      </c>
      <c r="C2" s="10">
        <v>0</v>
      </c>
      <c r="E2">
        <v>0</v>
      </c>
      <c r="F2">
        <v>4</v>
      </c>
      <c r="G2" s="4">
        <v>1</v>
      </c>
    </row>
    <row r="3" ht="15">
      <c r="A3" s="4">
        <v>2</v>
      </c>
      <c r="B3">
        <v>2</v>
      </c>
      <c r="C3" s="10">
        <v>0</v>
      </c>
      <c r="E3">
        <v>0</v>
      </c>
      <c r="F3">
        <v>2</v>
      </c>
      <c r="G3" s="4">
        <v>2</v>
      </c>
    </row>
    <row r="4" ht="15">
      <c r="A4" s="4">
        <v>3</v>
      </c>
      <c r="B4">
        <v>8</v>
      </c>
      <c r="C4" s="10" t="s">
        <v>9</v>
      </c>
      <c r="D4">
        <f>MAX(F2:F3)</f>
        <v>4</v>
      </c>
      <c r="E4">
        <f>D4+1</f>
        <v>5</v>
      </c>
      <c r="F4">
        <f>E4+B4-1</f>
        <v>12</v>
      </c>
      <c r="G4" s="4">
        <v>3</v>
      </c>
    </row>
    <row r="5" ht="15">
      <c r="A5" s="4">
        <v>4</v>
      </c>
      <c r="B5">
        <v>5</v>
      </c>
      <c r="C5" s="10">
        <v>0</v>
      </c>
      <c r="E5">
        <v>0</v>
      </c>
      <c r="F5">
        <v>5</v>
      </c>
      <c r="G5" s="4">
        <v>4</v>
      </c>
    </row>
    <row r="6" ht="15">
      <c r="A6" s="4">
        <v>5</v>
      </c>
      <c r="B6">
        <v>7</v>
      </c>
      <c r="C6" s="10" t="s">
        <v>10</v>
      </c>
      <c r="D6">
        <f>MAX(F4:F5)</f>
        <v>12</v>
      </c>
      <c r="E6" s="7">
        <f>D6+1</f>
        <v>13</v>
      </c>
      <c r="F6" s="7">
        <f>E6+B6-1</f>
        <v>19</v>
      </c>
      <c r="G6" s="4">
        <v>5</v>
      </c>
    </row>
    <row r="7" ht="15">
      <c r="A7" s="4">
        <v>6</v>
      </c>
      <c r="B7">
        <v>9</v>
      </c>
      <c r="C7" s="10">
        <v>3</v>
      </c>
      <c r="D7">
        <f>F4</f>
        <v>12</v>
      </c>
      <c r="E7" s="7">
        <f>D7+1</f>
        <v>13</v>
      </c>
      <c r="F7" s="7">
        <f>E7+B7-1</f>
        <v>21</v>
      </c>
      <c r="G7" s="4">
        <v>6</v>
      </c>
    </row>
    <row r="8" ht="15">
      <c r="A8" s="4">
        <v>7</v>
      </c>
      <c r="B8">
        <v>10</v>
      </c>
      <c r="C8" s="10">
        <v>5</v>
      </c>
      <c r="D8">
        <f>F6</f>
        <v>19</v>
      </c>
      <c r="E8" s="7">
        <f>D8+1</f>
        <v>20</v>
      </c>
      <c r="F8" s="7">
        <f>E8+B8-1</f>
        <v>29</v>
      </c>
      <c r="G8" s="4">
        <v>7</v>
      </c>
    </row>
    <row r="9" ht="15">
      <c r="A9" s="4">
        <v>8</v>
      </c>
      <c r="B9">
        <v>5</v>
      </c>
      <c r="C9" s="10">
        <v>5</v>
      </c>
      <c r="D9">
        <f>F6</f>
        <v>19</v>
      </c>
      <c r="E9" s="7">
        <f>D9+1</f>
        <v>20</v>
      </c>
      <c r="F9" s="7">
        <f>E9+B9-1</f>
        <v>24</v>
      </c>
      <c r="G9" s="4">
        <v>8</v>
      </c>
    </row>
    <row r="10" ht="15">
      <c r="A10" s="4">
        <v>9</v>
      </c>
      <c r="B10">
        <v>10</v>
      </c>
      <c r="C10" s="10">
        <v>8</v>
      </c>
      <c r="D10">
        <f>F9</f>
        <v>24</v>
      </c>
      <c r="E10" s="7">
        <f>D10+1</f>
        <v>25</v>
      </c>
      <c r="F10" s="7">
        <f>E10+B10-1</f>
        <v>34</v>
      </c>
      <c r="G10" s="4">
        <v>9</v>
      </c>
    </row>
    <row r="11" ht="15">
      <c r="A11" s="4">
        <v>10</v>
      </c>
      <c r="B11">
        <v>8</v>
      </c>
      <c r="C11" s="10">
        <v>7</v>
      </c>
      <c r="D11">
        <f>F8</f>
        <v>29</v>
      </c>
      <c r="E11" s="7">
        <f>D11+1</f>
        <v>30</v>
      </c>
      <c r="F11" s="7">
        <f>E11+B11-1</f>
        <v>37</v>
      </c>
      <c r="G11" s="4">
        <v>10</v>
      </c>
    </row>
    <row r="12" ht="15">
      <c r="A12" s="4">
        <v>11</v>
      </c>
      <c r="B12">
        <v>7</v>
      </c>
      <c r="C12" s="10" t="s">
        <v>11</v>
      </c>
      <c r="D12">
        <f>MAX(F7:F8)</f>
        <v>29</v>
      </c>
      <c r="E12" s="7">
        <f>D12+1</f>
        <v>30</v>
      </c>
      <c r="F12" s="7">
        <f>E12+B12-1</f>
        <v>36</v>
      </c>
      <c r="G12" s="4">
        <v>11</v>
      </c>
    </row>
    <row r="13" ht="15">
      <c r="A13" s="4">
        <v>12</v>
      </c>
      <c r="B13">
        <v>6</v>
      </c>
      <c r="C13" s="10">
        <v>11</v>
      </c>
      <c r="D13">
        <f>F12</f>
        <v>36</v>
      </c>
      <c r="E13" s="7">
        <f>D13+1</f>
        <v>37</v>
      </c>
      <c r="F13" s="7">
        <f>E13+B13-1</f>
        <v>42</v>
      </c>
      <c r="G13" s="4">
        <v>12</v>
      </c>
    </row>
    <row r="14" ht="15">
      <c r="A14" s="4">
        <v>13</v>
      </c>
      <c r="B14">
        <v>9</v>
      </c>
      <c r="C14" s="10">
        <v>11</v>
      </c>
      <c r="D14">
        <f>F12</f>
        <v>36</v>
      </c>
      <c r="E14" s="7">
        <f>D14+1</f>
        <v>37</v>
      </c>
      <c r="F14" s="7">
        <f>E14+B14-1</f>
        <v>45</v>
      </c>
      <c r="G14" s="4">
        <v>13</v>
      </c>
    </row>
    <row r="15" ht="15">
      <c r="A15" s="4">
        <v>14</v>
      </c>
      <c r="B15">
        <v>4</v>
      </c>
      <c r="C15" s="10">
        <v>11</v>
      </c>
      <c r="D15">
        <f>F12</f>
        <v>36</v>
      </c>
      <c r="E15" s="7">
        <f>D15+1</f>
        <v>37</v>
      </c>
      <c r="F15" s="7">
        <f>E15+B15-1</f>
        <v>40</v>
      </c>
      <c r="G15" s="4">
        <v>14</v>
      </c>
    </row>
    <row r="16" ht="15">
      <c r="A16" s="4">
        <v>15</v>
      </c>
      <c r="B16">
        <v>6</v>
      </c>
      <c r="C16" s="10" t="s">
        <v>12</v>
      </c>
      <c r="D16">
        <f>MAX(F13:F15)</f>
        <v>45</v>
      </c>
      <c r="E16" s="7">
        <f>D16+1</f>
        <v>46</v>
      </c>
      <c r="F16" s="7">
        <f>E16+B16-1</f>
        <v>51</v>
      </c>
      <c r="G16" s="4">
        <v>15</v>
      </c>
    </row>
    <row r="17" ht="15">
      <c r="A17" s="4">
        <v>16</v>
      </c>
      <c r="B17">
        <v>9</v>
      </c>
      <c r="C17" s="10" t="s">
        <v>13</v>
      </c>
      <c r="D17">
        <f>MAX(F10:F11)</f>
        <v>37</v>
      </c>
      <c r="E17" s="7">
        <f>D17+1</f>
        <v>38</v>
      </c>
      <c r="F17" s="7">
        <f>E17+B17-1</f>
        <v>46</v>
      </c>
      <c r="G17" s="4">
        <v>16</v>
      </c>
    </row>
    <row r="18" ht="15" customHeight="1">
      <c r="F18" s="11">
        <f>MAX(F2:F17)</f>
        <v>51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 customHeight="1"/>
  <cols>
    <col customWidth="1" min="2" max="2" width="16.425799999999999"/>
    <col customWidth="1" min="3" max="3" width="14.140625"/>
    <col customWidth="1" min="4" max="34" width="3.140625"/>
    <col customWidth="1" min="35" max="80" width="3.57421875"/>
  </cols>
  <sheetData>
    <row r="1" ht="15">
      <c r="A1" s="1" t="s">
        <v>0</v>
      </c>
      <c r="B1" s="1" t="s">
        <v>1</v>
      </c>
      <c r="C1" s="1" t="s">
        <v>2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  <c r="AD1">
        <v>26</v>
      </c>
      <c r="AE1">
        <v>27</v>
      </c>
      <c r="AF1">
        <v>28</v>
      </c>
      <c r="AG1">
        <v>29</v>
      </c>
      <c r="AH1">
        <v>30</v>
      </c>
      <c r="AI1">
        <v>31</v>
      </c>
      <c r="AJ1">
        <v>32</v>
      </c>
      <c r="AK1">
        <v>33</v>
      </c>
      <c r="AL1">
        <v>34</v>
      </c>
      <c r="AM1">
        <v>35</v>
      </c>
      <c r="AN1">
        <v>36</v>
      </c>
      <c r="AO1">
        <v>37</v>
      </c>
      <c r="AP1">
        <v>38</v>
      </c>
      <c r="AQ1">
        <v>39</v>
      </c>
      <c r="AR1">
        <v>40</v>
      </c>
      <c r="AS1">
        <v>41</v>
      </c>
      <c r="AT1">
        <v>42</v>
      </c>
      <c r="AU1">
        <v>43</v>
      </c>
      <c r="AV1">
        <v>44</v>
      </c>
      <c r="AW1">
        <v>45</v>
      </c>
      <c r="AX1">
        <v>46</v>
      </c>
      <c r="AY1">
        <v>47</v>
      </c>
      <c r="AZ1">
        <v>48</v>
      </c>
      <c r="BA1">
        <v>49</v>
      </c>
      <c r="BB1">
        <v>50</v>
      </c>
      <c r="BC1">
        <v>51</v>
      </c>
      <c r="BD1">
        <v>52</v>
      </c>
    </row>
    <row r="2" ht="15">
      <c r="A2" s="4">
        <v>1</v>
      </c>
      <c r="B2">
        <v>4</v>
      </c>
      <c r="C2" s="10">
        <v>0</v>
      </c>
      <c r="E2" s="12"/>
      <c r="F2" s="12"/>
      <c r="G2" s="12"/>
      <c r="H2" s="12"/>
    </row>
    <row r="3" ht="15">
      <c r="A3" s="4">
        <v>2</v>
      </c>
      <c r="B3">
        <v>2</v>
      </c>
      <c r="C3" s="10">
        <v>0</v>
      </c>
      <c r="E3" s="12"/>
      <c r="F3" s="12"/>
    </row>
    <row r="4" ht="15">
      <c r="A4" s="4">
        <v>3</v>
      </c>
      <c r="B4">
        <v>8</v>
      </c>
      <c r="C4" s="10" t="s">
        <v>9</v>
      </c>
      <c r="I4" s="12"/>
      <c r="J4" s="12"/>
      <c r="K4" s="12"/>
      <c r="L4" s="12"/>
      <c r="M4" s="12"/>
      <c r="N4" s="12"/>
      <c r="O4" s="12"/>
      <c r="P4" s="12"/>
    </row>
    <row r="5" ht="15">
      <c r="A5" s="4">
        <v>4</v>
      </c>
      <c r="B5">
        <v>5</v>
      </c>
      <c r="C5" s="10">
        <v>0</v>
      </c>
      <c r="E5" s="12"/>
      <c r="F5" s="12"/>
      <c r="G5" s="12"/>
      <c r="H5" s="12"/>
      <c r="I5" s="12"/>
      <c r="J5"/>
      <c r="K5"/>
      <c r="L5"/>
      <c r="M5"/>
    </row>
    <row r="6" ht="15">
      <c r="A6" s="4">
        <v>5</v>
      </c>
      <c r="B6">
        <v>7</v>
      </c>
      <c r="C6" s="10" t="s">
        <v>10</v>
      </c>
      <c r="Q6" s="12"/>
      <c r="R6" s="12"/>
      <c r="S6" s="12"/>
      <c r="T6" s="12"/>
      <c r="U6" s="12"/>
      <c r="V6" s="12"/>
      <c r="W6" s="12"/>
    </row>
    <row r="7" ht="15">
      <c r="A7" s="4">
        <v>6</v>
      </c>
      <c r="B7">
        <v>9</v>
      </c>
      <c r="C7" s="10">
        <v>3</v>
      </c>
      <c r="Q7" s="12"/>
      <c r="R7" s="12"/>
      <c r="S7" s="12"/>
      <c r="T7" s="12"/>
      <c r="U7" s="12"/>
      <c r="V7" s="12"/>
      <c r="W7" s="12"/>
      <c r="X7" s="12"/>
      <c r="Y7" s="12"/>
    </row>
    <row r="8" ht="15">
      <c r="A8" s="4">
        <v>7</v>
      </c>
      <c r="B8">
        <v>10</v>
      </c>
      <c r="C8" s="10">
        <v>5</v>
      </c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ht="15">
      <c r="A9" s="4">
        <v>8</v>
      </c>
      <c r="B9">
        <v>5</v>
      </c>
      <c r="C9" s="10">
        <v>5</v>
      </c>
      <c r="X9" s="12"/>
      <c r="Y9" s="12"/>
      <c r="Z9" s="12"/>
      <c r="AA9" s="12"/>
      <c r="AB9" s="12"/>
    </row>
    <row r="10" ht="15">
      <c r="A10" s="4">
        <v>9</v>
      </c>
      <c r="B10">
        <v>10</v>
      </c>
      <c r="C10" s="10">
        <v>8</v>
      </c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ht="15">
      <c r="A11" s="4">
        <v>10</v>
      </c>
      <c r="B11">
        <v>8</v>
      </c>
      <c r="C11" s="10">
        <v>7</v>
      </c>
      <c r="AH11" s="12"/>
      <c r="AI11" s="12"/>
      <c r="AJ11" s="12"/>
      <c r="AK11" s="12"/>
      <c r="AL11" s="12"/>
      <c r="AM11" s="12"/>
      <c r="AN11" s="12"/>
      <c r="AO11" s="12"/>
    </row>
    <row r="12" ht="15">
      <c r="A12" s="4">
        <v>11</v>
      </c>
      <c r="B12">
        <v>7</v>
      </c>
      <c r="C12" s="10" t="s">
        <v>11</v>
      </c>
      <c r="AH12" s="12"/>
      <c r="AI12" s="12"/>
      <c r="AJ12" s="12"/>
      <c r="AK12" s="12"/>
      <c r="AL12" s="12"/>
      <c r="AM12" s="12"/>
      <c r="AN12" s="12"/>
    </row>
    <row r="13" ht="15">
      <c r="A13" s="4">
        <v>12</v>
      </c>
      <c r="B13">
        <v>6</v>
      </c>
      <c r="C13" s="10">
        <v>11</v>
      </c>
      <c r="AO13" s="12"/>
      <c r="AP13" s="12"/>
      <c r="AQ13" s="12"/>
      <c r="AR13" s="12"/>
      <c r="AS13" s="12"/>
      <c r="AT13" s="12"/>
    </row>
    <row r="14" ht="15">
      <c r="A14" s="4">
        <v>13</v>
      </c>
      <c r="B14">
        <v>9</v>
      </c>
      <c r="C14" s="10">
        <v>11</v>
      </c>
      <c r="AO14" s="12"/>
      <c r="AP14" s="12"/>
      <c r="AQ14" s="12"/>
      <c r="AR14" s="12"/>
      <c r="AS14" s="12"/>
      <c r="AT14" s="12"/>
      <c r="AU14" s="12"/>
      <c r="AV14" s="12"/>
      <c r="AW14" s="12"/>
    </row>
    <row r="15" ht="15">
      <c r="A15" s="4">
        <v>14</v>
      </c>
      <c r="B15">
        <v>4</v>
      </c>
      <c r="C15" s="10">
        <v>11</v>
      </c>
      <c r="AO15" s="12"/>
      <c r="AP15" s="12"/>
      <c r="AQ15" s="12"/>
      <c r="AR15" s="12"/>
    </row>
    <row r="16" ht="15">
      <c r="A16" s="4">
        <v>15</v>
      </c>
      <c r="B16">
        <v>6</v>
      </c>
      <c r="C16" s="10" t="s">
        <v>12</v>
      </c>
      <c r="AX16" s="12"/>
      <c r="AY16" s="12"/>
      <c r="AZ16" s="12"/>
      <c r="BA16" s="12"/>
      <c r="BB16" s="12"/>
      <c r="BC16" s="12"/>
    </row>
    <row r="17" ht="15">
      <c r="A17" s="4">
        <v>16</v>
      </c>
      <c r="B17">
        <v>9</v>
      </c>
      <c r="C17" s="10" t="s">
        <v>13</v>
      </c>
      <c r="AP17" s="12"/>
      <c r="AQ17" s="12"/>
      <c r="AR17" s="12"/>
      <c r="AS17" s="12"/>
      <c r="AT17" s="12"/>
      <c r="AU17" s="12"/>
      <c r="AV17" s="12"/>
      <c r="AW17" s="12"/>
      <c r="AX17" s="1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 customHeight="1"/>
  <cols>
    <col customWidth="1" min="2" max="2" width="16.425799999999999"/>
  </cols>
  <sheetData>
    <row r="1" ht="42.75">
      <c r="A1" s="9" t="s">
        <v>14</v>
      </c>
      <c r="B1" s="9" t="s">
        <v>15</v>
      </c>
      <c r="C1" s="9" t="s">
        <v>16</v>
      </c>
    </row>
    <row r="2" ht="15">
      <c r="A2">
        <v>1</v>
      </c>
      <c r="B2">
        <v>4</v>
      </c>
      <c r="C2" s="10">
        <v>0</v>
      </c>
    </row>
    <row r="3" ht="15">
      <c r="A3">
        <v>2</v>
      </c>
      <c r="B3">
        <v>2</v>
      </c>
      <c r="C3" s="10">
        <v>0</v>
      </c>
    </row>
    <row r="4" ht="15">
      <c r="A4">
        <v>3</v>
      </c>
      <c r="B4">
        <v>8</v>
      </c>
      <c r="C4" s="10" t="s">
        <v>9</v>
      </c>
    </row>
    <row r="5" ht="15">
      <c r="A5">
        <v>4</v>
      </c>
      <c r="B5">
        <v>5</v>
      </c>
      <c r="C5" s="10">
        <v>0</v>
      </c>
    </row>
    <row r="6" ht="15">
      <c r="A6">
        <v>5</v>
      </c>
      <c r="B6">
        <v>7</v>
      </c>
      <c r="C6" s="10" t="s">
        <v>10</v>
      </c>
    </row>
    <row r="7" ht="15">
      <c r="A7">
        <v>6</v>
      </c>
      <c r="B7">
        <v>9</v>
      </c>
      <c r="C7" s="10">
        <v>3</v>
      </c>
    </row>
    <row r="8" ht="15">
      <c r="A8">
        <v>7</v>
      </c>
      <c r="B8">
        <v>10</v>
      </c>
      <c r="C8" s="10">
        <v>5</v>
      </c>
    </row>
    <row r="9" ht="15">
      <c r="A9">
        <v>8</v>
      </c>
      <c r="B9">
        <v>5</v>
      </c>
      <c r="C9" s="10">
        <v>5</v>
      </c>
    </row>
    <row r="10" ht="15">
      <c r="A10">
        <v>9</v>
      </c>
      <c r="B10">
        <v>10</v>
      </c>
      <c r="C10" s="10">
        <v>8</v>
      </c>
    </row>
    <row r="11" ht="15">
      <c r="A11">
        <v>10</v>
      </c>
      <c r="B11">
        <v>8</v>
      </c>
      <c r="C11" s="10">
        <v>7</v>
      </c>
    </row>
    <row r="12" ht="15">
      <c r="A12">
        <v>11</v>
      </c>
      <c r="B12">
        <v>7</v>
      </c>
      <c r="C12" s="10" t="s">
        <v>11</v>
      </c>
    </row>
    <row r="13" ht="15">
      <c r="A13">
        <v>12</v>
      </c>
      <c r="B13">
        <v>6</v>
      </c>
      <c r="C13" s="10">
        <v>11</v>
      </c>
    </row>
    <row r="14" ht="15">
      <c r="A14">
        <v>13</v>
      </c>
      <c r="B14">
        <v>9</v>
      </c>
      <c r="C14" s="10">
        <v>11</v>
      </c>
    </row>
    <row r="15" ht="15">
      <c r="A15">
        <v>14</v>
      </c>
      <c r="B15">
        <v>4</v>
      </c>
      <c r="C15" s="10">
        <v>11</v>
      </c>
    </row>
    <row r="16" ht="15">
      <c r="A16">
        <v>15</v>
      </c>
      <c r="B16">
        <v>6</v>
      </c>
      <c r="C16" s="10" t="s">
        <v>12</v>
      </c>
    </row>
    <row r="17" ht="15">
      <c r="A17">
        <v>16</v>
      </c>
      <c r="B17">
        <v>9</v>
      </c>
      <c r="C17" s="10" t="s">
        <v>13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revision>1</cp:revision>
  <dcterms:created xsi:type="dcterms:W3CDTF">2022-07-26T06:42:00Z</dcterms:created>
  <dcterms:modified xsi:type="dcterms:W3CDTF">2026-03-06T12:07:12Z</dcterms:modified>
  <cp:version>786432</cp:version>
</cp:coreProperties>
</file>