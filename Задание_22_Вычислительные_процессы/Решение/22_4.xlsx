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</sheets>
  <definedNames>
    <definedName name="z22_105" localSheetId="0">'Лист1'!$D$2:$F$27</definedName>
    <definedName name="z22_106" localSheetId="0">Лист1!#REF!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name="z22-102" type="6" background="1" refreshedVersion="3" saveData="1">
    <textPr codePage="866" sourceFile="Z:\Для экспертов\ЕГЭ_2025\Первый день\2508\z22-102.txt" decimal="," thousands=" " space="1" consecutive="1">
      <textFields count="3">
        <textField/>
        <textField/>
        <textField/>
      </textFields>
    </textPr>
  </connection>
  <connection id="2" name="z22-103" type="6" background="1" refreshedVersion="3">
    <textPr codePage="866" sourceFile="Z:\Для экспертов\ЕГЭ_2025\Первый день\2509\z22-103.txt" decimal="," thousands=" " space="1" consecutive="1">
      <textFields count="3">
        <textField/>
        <textField/>
        <textField/>
      </textFields>
    </textPr>
  </connection>
  <connection id="3" name="z22-105" type="6" background="1" refreshedVersion="3" saveData="1">
    <textPr codePage="866" sourceFile="Z:\Для экспертов\ЕГЭ_2025\Первый день\2511\z22-105.txt" decimal="," thousands=" " space="1" consecutive="1">
      <textFields count="3">
        <textField/>
        <textField/>
        <textField/>
      </textFields>
    </textPr>
  </connection>
  <connection id="4" name="z22-106" type="6" background="1" refreshedVersion="3">
    <textPr codePage="866" sourceFile="Z:\Для экспертов\ЕГЭ_2025\Первый день\2512\z22-106.txt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<sst xmlns="http://schemas.openxmlformats.org/spreadsheetml/2006/main" count="7" uniqueCount="7">
  <si>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 xml:space="preserve">ID </t>
  </si>
  <si>
    <t xml:space="preserve">Время </t>
  </si>
  <si>
    <t xml:space="preserve">ID влияющ</t>
  </si>
  <si>
    <t xml:space="preserve">время влияющ</t>
  </si>
  <si>
    <t>начало</t>
  </si>
  <si>
    <t>конец</t>
  </si>
  <si>
    <t>счетчик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</si>
</sst>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rgb="FF92D05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2" borderId="0" numFmtId="0" xfId="0" applyFill="1"/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right"/>
    </xf>
    <xf fontId="0" fillId="0" borderId="0" numFmtId="0" xfId="0">
      <protection hidden="0" locked="1"/>
    </xf>
    <xf fontId="0" fillId="3" borderId="0" numFmtId="0" xfId="0" applyFill="1">
      <protection hidden="0" locked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13"/>
    <col customWidth="1" min="3" max="3" width="16.140625"/>
    <col customWidth="1" min="4" max="4" width="9.5703125"/>
    <col customWidth="1" min="5" max="5" style="1" width="9.5703125"/>
    <col customWidth="1" min="6" max="6" style="1" width="9.7109375"/>
  </cols>
  <sheetData>
    <row r="1" ht="60">
      <c r="A1" s="2" t="s">
        <v>0</v>
      </c>
      <c r="B1" s="2" t="s">
        <v>1</v>
      </c>
      <c r="C1" s="3" t="s">
        <v>2</v>
      </c>
      <c r="E1" s="1" t="s">
        <v>3</v>
      </c>
      <c r="G1" t="s">
        <v>4</v>
      </c>
      <c r="H1" t="s">
        <v>5</v>
      </c>
      <c r="I1" t="s">
        <v>6</v>
      </c>
    </row>
    <row r="2">
      <c r="A2">
        <v>101</v>
      </c>
      <c r="B2">
        <v>5</v>
      </c>
      <c r="C2" s="4">
        <v>107</v>
      </c>
      <c r="E2" s="1">
        <f ca="1">VLOOKUP(C2,$A:$H,8,0)</f>
        <v>13</v>
      </c>
      <c r="F2" s="1">
        <f ca="1">VLOOKUP(D2,$A:$H,8,0)</f>
        <v>0</v>
      </c>
      <c r="G2">
        <f>MAX(E2:F2)+1</f>
        <v>14</v>
      </c>
      <c r="H2">
        <f>G2+B2-1</f>
        <v>18</v>
      </c>
      <c r="I2" s="5">
        <f>IF(AND(G2&lt;=15,H2&gt;=15),1,0)</f>
        <v>1</v>
      </c>
      <c r="J2" s="6">
        <f>SUM(I:I)</f>
        <v>5</v>
      </c>
    </row>
    <row r="3">
      <c r="A3">
        <v>102</v>
      </c>
      <c r="B3">
        <v>5</v>
      </c>
      <c r="C3" s="4">
        <v>106</v>
      </c>
      <c r="D3">
        <v>107</v>
      </c>
      <c r="E3" s="1">
        <f>VLOOKUP(C3,$A:$H,8,0)</f>
        <v>12</v>
      </c>
      <c r="F3" s="1">
        <f>VLOOKUP(D3,$A:$H,8,0)</f>
        <v>13</v>
      </c>
      <c r="G3" s="5">
        <f>MAX(E3:F3)+1</f>
        <v>14</v>
      </c>
      <c r="H3" s="5">
        <f ca="1">G3+B3-1</f>
        <v>18</v>
      </c>
      <c r="I3" s="5">
        <f>IF(AND(G3&lt;=15,H3&gt;=15),1,0)</f>
        <v>1</v>
      </c>
      <c r="J3" s="5"/>
      <c r="K3" s="5"/>
    </row>
    <row r="4">
      <c r="A4">
        <v>103</v>
      </c>
      <c r="B4">
        <v>4</v>
      </c>
      <c r="C4" s="4">
        <v>0</v>
      </c>
      <c r="E4" s="1">
        <f>VLOOKUP(C4,$A:$H,8,0)</f>
        <v>0</v>
      </c>
      <c r="F4" s="1">
        <f>VLOOKUP(D4,$A:$H,8,0)</f>
        <v>0</v>
      </c>
      <c r="G4" s="5">
        <f>MAX(E4:F4)+1</f>
        <v>1</v>
      </c>
      <c r="H4" s="5">
        <f ca="1">G4+B4-1</f>
        <v>4</v>
      </c>
      <c r="I4" s="5">
        <f>IF(AND(G4&lt;=15,H4&gt;=15),1,0)</f>
        <v>0</v>
      </c>
      <c r="J4" s="5"/>
      <c r="K4" s="5"/>
    </row>
    <row r="5">
      <c r="A5">
        <v>104</v>
      </c>
      <c r="B5">
        <v>5</v>
      </c>
      <c r="C5" s="4">
        <v>122</v>
      </c>
      <c r="E5" s="1">
        <f>VLOOKUP(C5,$A:$H,8,0)</f>
        <v>16</v>
      </c>
      <c r="F5" s="1">
        <f>VLOOKUP(D5,$A:$H,8,0)</f>
        <v>0</v>
      </c>
      <c r="G5" s="5">
        <f>MAX(E5:F5)+1</f>
        <v>17</v>
      </c>
      <c r="H5" s="5">
        <f ca="1">G5+B5-1</f>
        <v>21</v>
      </c>
      <c r="I5" s="5">
        <f>IF(AND(G5&lt;=15,H5&gt;=15),1,0)</f>
        <v>0</v>
      </c>
      <c r="J5" s="5"/>
      <c r="K5" s="5"/>
    </row>
    <row r="6">
      <c r="A6">
        <v>105</v>
      </c>
      <c r="B6">
        <v>4</v>
      </c>
      <c r="C6" s="4">
        <v>115</v>
      </c>
      <c r="E6" s="1">
        <f>VLOOKUP(C6,$A:$H,8,0)</f>
        <v>21</v>
      </c>
      <c r="F6" s="1">
        <f>VLOOKUP(D6,$A:$H,8,0)</f>
        <v>0</v>
      </c>
      <c r="G6" s="5">
        <f>MAX(E6:F6)+1</f>
        <v>22</v>
      </c>
      <c r="H6" s="5">
        <f ca="1">G6+B6-1</f>
        <v>25</v>
      </c>
      <c r="I6" s="5">
        <f>IF(AND(G6&lt;=15,H6&gt;=15),1,0)</f>
        <v>0</v>
      </c>
      <c r="J6" s="5"/>
      <c r="K6" s="5"/>
    </row>
    <row r="7">
      <c r="A7">
        <v>106</v>
      </c>
      <c r="B7">
        <v>6</v>
      </c>
      <c r="C7" s="4">
        <v>113</v>
      </c>
      <c r="D7">
        <v>117</v>
      </c>
      <c r="E7" s="1">
        <f>VLOOKUP(C7,$A:$H,8,0)</f>
        <v>4</v>
      </c>
      <c r="F7" s="1">
        <f>VLOOKUP(D7,$A:$H,8,0)</f>
        <v>6</v>
      </c>
      <c r="G7" s="5">
        <f>MAX(E7:F7)+1</f>
        <v>7</v>
      </c>
      <c r="H7" s="5">
        <f ca="1">G7+B7-1</f>
        <v>12</v>
      </c>
      <c r="I7" s="5">
        <f>IF(AND(G7&lt;=15,H7&gt;=15),1,0)</f>
        <v>0</v>
      </c>
      <c r="J7" s="5"/>
      <c r="K7" s="5"/>
    </row>
    <row r="8">
      <c r="A8">
        <v>107</v>
      </c>
      <c r="B8">
        <v>1</v>
      </c>
      <c r="C8" s="4">
        <v>117</v>
      </c>
      <c r="D8">
        <v>106</v>
      </c>
      <c r="E8" s="1">
        <f>VLOOKUP(C8,$A:$H,8,0)</f>
        <v>6</v>
      </c>
      <c r="F8" s="1">
        <f>VLOOKUP(D8,$A:$H,8,0)</f>
        <v>12</v>
      </c>
      <c r="G8" s="5">
        <f>MAX(E8:F8)+1</f>
        <v>13</v>
      </c>
      <c r="H8" s="5">
        <f ca="1">G8+B8-1</f>
        <v>13</v>
      </c>
      <c r="I8" s="5">
        <f>IF(AND(G8&lt;=15,H8&gt;=15),1,0)</f>
        <v>0</v>
      </c>
      <c r="J8" s="5"/>
      <c r="K8" s="5"/>
    </row>
    <row r="9">
      <c r="A9">
        <v>108</v>
      </c>
      <c r="B9">
        <v>6</v>
      </c>
      <c r="C9" s="4">
        <v>103</v>
      </c>
      <c r="D9">
        <v>107</v>
      </c>
      <c r="E9" s="1">
        <f>VLOOKUP(C9,$A:$H,8,0)</f>
        <v>4</v>
      </c>
      <c r="F9" s="1">
        <f>VLOOKUP(D9,$A:$H,8,0)</f>
        <v>13</v>
      </c>
      <c r="G9" s="5">
        <f>MAX(E9:F9)+1</f>
        <v>14</v>
      </c>
      <c r="H9" s="5">
        <f ca="1">G9+B9-1</f>
        <v>19</v>
      </c>
      <c r="I9" s="5">
        <f>IF(AND(G9&lt;=15,H9&gt;=15),1,0)</f>
        <v>1</v>
      </c>
      <c r="J9" s="5"/>
      <c r="K9" s="5"/>
    </row>
    <row r="10">
      <c r="A10">
        <v>109</v>
      </c>
      <c r="B10">
        <v>2</v>
      </c>
      <c r="C10" s="4">
        <v>121</v>
      </c>
      <c r="E10" s="1">
        <f>VLOOKUP(C10,$A:$H,8,0)</f>
        <v>24</v>
      </c>
      <c r="F10" s="1">
        <f>VLOOKUP(D10,$A:$H,8,0)</f>
        <v>0</v>
      </c>
      <c r="G10" s="5">
        <f>MAX(E10:F10)+1</f>
        <v>25</v>
      </c>
      <c r="H10" s="5">
        <f ca="1">G10+B10-1</f>
        <v>26</v>
      </c>
      <c r="I10" s="5">
        <f>IF(AND(G10&lt;=15,H10&gt;=15),1,0)</f>
        <v>0</v>
      </c>
      <c r="J10" s="5"/>
      <c r="K10" s="5"/>
    </row>
    <row r="11">
      <c r="A11">
        <v>110</v>
      </c>
      <c r="B11">
        <v>5</v>
      </c>
      <c r="C11" s="4">
        <v>104</v>
      </c>
      <c r="E11" s="1">
        <f>VLOOKUP(C11,$A:$H,8,0)</f>
        <v>21</v>
      </c>
      <c r="F11" s="1">
        <f>VLOOKUP(D11,$A:$H,8,0)</f>
        <v>0</v>
      </c>
      <c r="G11" s="5">
        <f>MAX(E11:F11)+1</f>
        <v>22</v>
      </c>
      <c r="H11" s="5">
        <f ca="1">G11+B11-1</f>
        <v>26</v>
      </c>
      <c r="I11" s="5">
        <f>IF(AND(G11&lt;=15,H11&gt;=15),1,0)</f>
        <v>0</v>
      </c>
      <c r="J11" s="5"/>
      <c r="K11" s="5"/>
    </row>
    <row r="12">
      <c r="A12">
        <v>111</v>
      </c>
      <c r="B12">
        <v>4</v>
      </c>
      <c r="C12" s="4">
        <v>118</v>
      </c>
      <c r="E12" s="1">
        <f>VLOOKUP(C12,$A:$H,8,0)</f>
        <v>15</v>
      </c>
      <c r="F12" s="1">
        <f>VLOOKUP(D12,$A:$H,8,0)</f>
        <v>0</v>
      </c>
      <c r="G12" s="5">
        <f>MAX(E12:F12)+1</f>
        <v>16</v>
      </c>
      <c r="H12" s="5">
        <f ca="1">G12+B12-1</f>
        <v>19</v>
      </c>
      <c r="I12" s="5">
        <f>IF(AND(G12&lt;=15,H12&gt;=15),1,0)</f>
        <v>0</v>
      </c>
      <c r="J12" s="5"/>
      <c r="K12" s="5"/>
    </row>
    <row r="13">
      <c r="A13">
        <v>112</v>
      </c>
      <c r="B13">
        <v>3</v>
      </c>
      <c r="C13" s="4">
        <v>113</v>
      </c>
      <c r="E13" s="1">
        <f>VLOOKUP(C13,$A:$H,8,0)</f>
        <v>4</v>
      </c>
      <c r="F13" s="1">
        <f>VLOOKUP(D13,$A:$H,8,0)</f>
        <v>0</v>
      </c>
      <c r="G13" s="5">
        <f>MAX(E13:F13)+1</f>
        <v>5</v>
      </c>
      <c r="H13" s="5">
        <f ca="1">G13+B13-1</f>
        <v>7</v>
      </c>
      <c r="I13" s="5">
        <f>IF(AND(G13&lt;=15,H13&gt;=15),1,0)</f>
        <v>0</v>
      </c>
      <c r="J13" s="5"/>
      <c r="K13" s="5"/>
    </row>
    <row r="14">
      <c r="A14">
        <v>113</v>
      </c>
      <c r="B14">
        <v>4</v>
      </c>
      <c r="C14" s="4">
        <v>0</v>
      </c>
      <c r="E14" s="1">
        <f>VLOOKUP(C14,$A:$H,8,0)</f>
        <v>0</v>
      </c>
      <c r="F14" s="1">
        <f>VLOOKUP(D14,$A:$H,8,0)</f>
        <v>0</v>
      </c>
      <c r="G14" s="5">
        <f>MAX(E14:F14)+1</f>
        <v>1</v>
      </c>
      <c r="H14" s="5">
        <f ca="1">G14+B14-1</f>
        <v>4</v>
      </c>
      <c r="I14" s="5">
        <f>IF(AND(G14&lt;=15,H14&gt;=15),1,0)</f>
        <v>0</v>
      </c>
      <c r="J14" s="5"/>
      <c r="K14" s="5"/>
    </row>
    <row r="15">
      <c r="A15">
        <v>114</v>
      </c>
      <c r="B15">
        <v>3</v>
      </c>
      <c r="C15" s="4">
        <v>124</v>
      </c>
      <c r="D15">
        <v>110</v>
      </c>
      <c r="E15" s="1">
        <f>VLOOKUP(C15,$A:$H,8,0)</f>
        <v>18</v>
      </c>
      <c r="F15" s="1">
        <f>VLOOKUP(D15,$A:$H,8,0)</f>
        <v>26</v>
      </c>
      <c r="G15" s="5">
        <f>MAX(E15:F15)+1</f>
        <v>27</v>
      </c>
      <c r="H15" s="5">
        <f ca="1">G15+B15-1</f>
        <v>29</v>
      </c>
      <c r="I15" s="5">
        <f>IF(AND(G15&lt;=15,H15&gt;=15),1,0)</f>
        <v>0</v>
      </c>
      <c r="J15" s="5"/>
      <c r="K15" s="5"/>
    </row>
    <row r="16">
      <c r="A16">
        <v>115</v>
      </c>
      <c r="B16">
        <v>2</v>
      </c>
      <c r="C16" s="4">
        <v>112</v>
      </c>
      <c r="D16">
        <v>111</v>
      </c>
      <c r="E16" s="1">
        <f>VLOOKUP(C16,$A:$H,8,0)</f>
        <v>7</v>
      </c>
      <c r="F16" s="1">
        <f>VLOOKUP(D16,$A:$H,8,0)</f>
        <v>19</v>
      </c>
      <c r="G16" s="5">
        <f>MAX(E16:F16)+1</f>
        <v>20</v>
      </c>
      <c r="H16" s="5">
        <f ca="1">G16+B16-1</f>
        <v>21</v>
      </c>
      <c r="I16" s="5">
        <f>IF(AND(G16&lt;=15,H16&gt;=15),1,0)</f>
        <v>0</v>
      </c>
      <c r="J16" s="5"/>
      <c r="K16" s="5"/>
    </row>
    <row r="17">
      <c r="A17">
        <v>116</v>
      </c>
      <c r="B17">
        <v>3</v>
      </c>
      <c r="C17" s="4">
        <v>105</v>
      </c>
      <c r="E17" s="1">
        <f>VLOOKUP(C17,$A:$H,8,0)</f>
        <v>25</v>
      </c>
      <c r="F17" s="1">
        <f>VLOOKUP(D17,$A:$H,8,0)</f>
        <v>0</v>
      </c>
      <c r="G17" s="5">
        <f>MAX(E17:F17)+1</f>
        <v>26</v>
      </c>
      <c r="H17" s="5">
        <f ca="1">G17+B17-1</f>
        <v>28</v>
      </c>
      <c r="I17" s="5">
        <f>IF(AND(G17&lt;=15,H17&gt;=15),1,0)</f>
        <v>0</v>
      </c>
      <c r="J17" s="5"/>
      <c r="K17" s="5"/>
    </row>
    <row r="18">
      <c r="A18">
        <v>117</v>
      </c>
      <c r="B18">
        <v>6</v>
      </c>
      <c r="C18" s="4">
        <v>0</v>
      </c>
      <c r="E18" s="1">
        <f>VLOOKUP(C18,$A:$H,8,0)</f>
        <v>0</v>
      </c>
      <c r="F18" s="1">
        <f>VLOOKUP(D18,$A:$H,8,0)</f>
        <v>0</v>
      </c>
      <c r="G18" s="5">
        <f>MAX(E18:F18)+1</f>
        <v>1</v>
      </c>
      <c r="H18" s="5">
        <f ca="1">G18+B18-1</f>
        <v>6</v>
      </c>
      <c r="I18" s="5">
        <f>IF(AND(G18&lt;=15,H18&gt;=15),1,0)</f>
        <v>0</v>
      </c>
      <c r="J18" s="5"/>
      <c r="K18" s="5"/>
    </row>
    <row r="19">
      <c r="A19">
        <v>118</v>
      </c>
      <c r="B19">
        <v>3</v>
      </c>
      <c r="C19" s="4">
        <v>106</v>
      </c>
      <c r="E19" s="1">
        <f>VLOOKUP(C19,$A:$H,8,0)</f>
        <v>12</v>
      </c>
      <c r="F19" s="1">
        <f>VLOOKUP(D19,$A:$H,8,0)</f>
        <v>0</v>
      </c>
      <c r="G19" s="5">
        <f>MAX(E19:F19)+1</f>
        <v>13</v>
      </c>
      <c r="H19" s="5">
        <f ca="1">G19+B19-1</f>
        <v>15</v>
      </c>
      <c r="I19" s="5">
        <f>IF(AND(G19&lt;=15,H19&gt;=15),1,0)</f>
        <v>1</v>
      </c>
      <c r="J19" s="5"/>
      <c r="K19" s="5"/>
    </row>
    <row r="20">
      <c r="A20">
        <v>119</v>
      </c>
      <c r="B20">
        <v>5</v>
      </c>
      <c r="C20" s="4">
        <v>101</v>
      </c>
      <c r="D20">
        <v>106</v>
      </c>
      <c r="E20" s="1">
        <f>VLOOKUP(C20,$A:$H,8,0)</f>
        <v>18</v>
      </c>
      <c r="F20" s="1">
        <f>VLOOKUP(D20,$A:$H,8,0)</f>
        <v>12</v>
      </c>
      <c r="G20" s="5">
        <f>MAX(E20:F20)+1</f>
        <v>19</v>
      </c>
      <c r="H20" s="5">
        <f ca="1">G20+B20-1</f>
        <v>23</v>
      </c>
      <c r="I20" s="5">
        <f>IF(AND(G20&lt;=15,H20&gt;=15),1,0)</f>
        <v>0</v>
      </c>
      <c r="J20" s="5"/>
      <c r="K20" s="5"/>
    </row>
    <row r="21">
      <c r="A21">
        <v>120</v>
      </c>
      <c r="B21">
        <v>1</v>
      </c>
      <c r="C21" s="4">
        <v>125</v>
      </c>
      <c r="E21" s="1">
        <f>VLOOKUP(C21,$A:$H,8,0)</f>
        <v>21</v>
      </c>
      <c r="F21" s="1">
        <f>VLOOKUP(D21,$A:$H,8,0)</f>
        <v>0</v>
      </c>
      <c r="G21" s="5">
        <f>MAX(E21:F21)+1</f>
        <v>22</v>
      </c>
      <c r="H21" s="5">
        <f ca="1">G21+B21-1</f>
        <v>22</v>
      </c>
      <c r="I21" s="5">
        <f>IF(AND(G21&lt;=15,H21&gt;=15),1,0)</f>
        <v>0</v>
      </c>
      <c r="J21" s="5"/>
      <c r="K21" s="5"/>
    </row>
    <row r="22">
      <c r="A22">
        <v>121</v>
      </c>
      <c r="B22">
        <v>3</v>
      </c>
      <c r="C22" s="4">
        <v>125</v>
      </c>
      <c r="D22">
        <v>103</v>
      </c>
      <c r="E22" s="1">
        <f>VLOOKUP(C22,$A:$H,8,0)</f>
        <v>21</v>
      </c>
      <c r="F22" s="1">
        <f>VLOOKUP(D22,$A:$H,8,0)</f>
        <v>4</v>
      </c>
      <c r="G22" s="5">
        <f>MAX(E22:F22)+1</f>
        <v>22</v>
      </c>
      <c r="H22" s="5">
        <f ca="1">G22+B22-1</f>
        <v>24</v>
      </c>
      <c r="I22" s="5">
        <f>IF(AND(G22&lt;=15,H22&gt;=15),1,0)</f>
        <v>0</v>
      </c>
      <c r="J22" s="5"/>
      <c r="K22" s="5"/>
    </row>
    <row r="23">
      <c r="A23">
        <v>122</v>
      </c>
      <c r="B23">
        <v>1</v>
      </c>
      <c r="C23" s="4">
        <v>118</v>
      </c>
      <c r="D23">
        <v>113</v>
      </c>
      <c r="E23" s="1">
        <f>VLOOKUP(C23,$A:$H,8,0)</f>
        <v>15</v>
      </c>
      <c r="F23" s="1">
        <f>VLOOKUP(D23,$A:$H,8,0)</f>
        <v>4</v>
      </c>
      <c r="G23" s="5">
        <f>MAX(E23:F23)+1</f>
        <v>16</v>
      </c>
      <c r="H23" s="5">
        <f ca="1">G23+B23-1</f>
        <v>16</v>
      </c>
      <c r="I23" s="5">
        <f>IF(AND(G23&lt;=15,H23&gt;=15),1,0)</f>
        <v>0</v>
      </c>
      <c r="J23" s="5"/>
      <c r="K23" s="5"/>
    </row>
    <row r="24">
      <c r="A24">
        <v>123</v>
      </c>
      <c r="B24">
        <v>4</v>
      </c>
      <c r="C24" s="4">
        <v>121</v>
      </c>
      <c r="D24">
        <v>107</v>
      </c>
      <c r="E24" s="1">
        <f>VLOOKUP(C24,$A:$H,8,0)</f>
        <v>24</v>
      </c>
      <c r="F24" s="1">
        <f>VLOOKUP(D24,$A:$H,8,0)</f>
        <v>13</v>
      </c>
      <c r="G24" s="5">
        <f>MAX(E24:F24)+1</f>
        <v>25</v>
      </c>
      <c r="H24" s="5">
        <f ca="1">G24+B24-1</f>
        <v>28</v>
      </c>
      <c r="I24" s="5">
        <f>IF(AND(G24&lt;=15,H24&gt;=15),1,0)</f>
        <v>0</v>
      </c>
      <c r="J24" s="5"/>
      <c r="K24" s="5"/>
    </row>
    <row r="25">
      <c r="A25">
        <v>124</v>
      </c>
      <c r="B25">
        <v>6</v>
      </c>
      <c r="C25" s="4">
        <v>106</v>
      </c>
      <c r="D25">
        <v>113</v>
      </c>
      <c r="E25" s="1">
        <f>VLOOKUP(C25,$A:$H,8,0)</f>
        <v>12</v>
      </c>
      <c r="F25" s="1">
        <f>VLOOKUP(D25,$A:$H,8,0)</f>
        <v>4</v>
      </c>
      <c r="G25" s="5">
        <f>MAX(E25:F25)+1</f>
        <v>13</v>
      </c>
      <c r="H25" s="5">
        <f ca="1">G25+B25-1</f>
        <v>18</v>
      </c>
      <c r="I25" s="5">
        <f>IF(AND(G25&lt;=15,H25&gt;=15),1,0)</f>
        <v>1</v>
      </c>
      <c r="J25" s="5"/>
      <c r="K25" s="5"/>
    </row>
    <row r="26">
      <c r="A26">
        <v>125</v>
      </c>
      <c r="B26">
        <v>6</v>
      </c>
      <c r="C26" s="4">
        <v>118</v>
      </c>
      <c r="E26" s="1">
        <f>VLOOKUP(C26,$A:$H,8,0)</f>
        <v>15</v>
      </c>
      <c r="F26" s="1">
        <f>VLOOKUP(D26,$A:$H,8,0)</f>
        <v>0</v>
      </c>
      <c r="G26" s="5">
        <f>MAX(E26:F26)+1</f>
        <v>16</v>
      </c>
      <c r="H26" s="5">
        <f ca="1">G26+B26-1</f>
        <v>21</v>
      </c>
      <c r="I26" s="5">
        <f>IF(AND(G26&lt;=15,H26&gt;=15),1,0)</f>
        <v>0</v>
      </c>
      <c r="J26" s="5"/>
      <c r="K26" s="5"/>
    </row>
    <row r="27" ht="14.25">
      <c r="A27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FIPI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revision>1</cp:revision>
  <dcterms:created xsi:type="dcterms:W3CDTF">2025-01-15T10:27:21Z</dcterms:created>
  <dcterms:modified xsi:type="dcterms:W3CDTF">2026-03-06T12:43:58Z</dcterms:modified>
</cp:coreProperties>
</file>