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Лист1 (3)" sheetId="1" state="visible" r:id="rId1"/>
    <sheet name="Лист1 (2)" sheetId="2" state="visible" r:id="rId2"/>
    <sheet name="Лист1" sheetId="3" state="visible" r:id="rId3"/>
  </sheets>
  <definedNames>
    <definedName name="_xlnm._FilterDatabase" localSheetId="2" hidden="1">'Лист1'!$A$1:$C$1</definedName>
    <definedName name="_xlnm._FilterDatabase" localSheetId="1" hidden="1">'Лист1 (2)'!$A$1:$C$1</definedName>
    <definedName name="_xlnm._FilterDatabase" localSheetId="0" hidden="1">'Лист1 (3)'!$A$1:$C$1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<sst xmlns="http://schemas.openxmlformats.org/spreadsheetml/2006/main" count="9" uniqueCount="9">
  <si>
    <t xml:space="preserve">ID </t>
  </si>
  <si>
    <t xml:space="preserve">Время </t>
  </si>
  <si>
    <t xml:space="preserve">ID влияющ</t>
  </si>
  <si>
    <t>101;102</t>
  </si>
  <si>
    <t>105;106</t>
  </si>
  <si>
    <t>110;111</t>
  </si>
  <si>
    <t xml:space="preserve">время влияющ</t>
  </si>
  <si>
    <t>начало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</si>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</sst>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\ &quot;₽&quot;_-;\-* #,##0.00\ &quot;₽&quot;_-;_-* &quot;-&quot;??\ &quot;₽&quot;_-;_-@_-"/>
    <numFmt numFmtId="165" formatCode="_-* #,##0\ &quot;₽&quot;_-;\-* #,##0\ &quot;₽&quot;_-;_-* &quot;-&quot;\ &quot;₽&quot;_-;_-@_-"/>
    <numFmt numFmtId="166" formatCode="_-* #,##0.00\ _₽_-;\-* #,##0.00\ _₽_-;_-* &quot;-&quot;??\ _₽_-;_-@_-"/>
    <numFmt numFmtId="167" formatCode="_-* #,##0\ _₽_-;\-* #,##0\ _₽_-;_-* &quot;-&quot;\ _₽_-;_-@_-"/>
  </numFmts>
  <fonts count="19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indexed="64"/>
      <name val="Calibri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libri Light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sz val="11.000000"/>
      <color theme="1" tint="0.499984740745262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00B0F0"/>
        <bgColor rgb="FF00B0F0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1" numFmtId="0" applyNumberFormat="1" applyFont="1" applyFill="1" applyBorder="1"/>
    <xf fontId="3" fillId="27" borderId="2" numFmtId="0" applyNumberFormat="1" applyFont="1" applyFill="1" applyBorder="1"/>
    <xf fontId="4" fillId="27" borderId="1" numFmtId="0" applyNumberFormat="1" applyFont="1" applyFill="1" applyBorder="1"/>
    <xf fontId="5" fillId="0" borderId="0" numFmtId="164" applyNumberFormat="1" applyFont="1" applyFill="1" applyBorder="1"/>
    <xf fontId="5" fillId="0" borderId="0" numFmtId="165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5" numFmtId="0" applyNumberFormat="1" applyFont="1" applyFill="1" applyBorder="1"/>
    <xf fontId="8" fillId="0" borderId="0" numFmtId="0" applyNumberFormat="1" applyFont="1" applyFill="1" applyBorder="1"/>
    <xf fontId="9" fillId="0" borderId="6" numFmtId="0" applyNumberFormat="1" applyFont="1" applyFill="1" applyBorder="1"/>
    <xf fontId="10" fillId="28" borderId="7" numFmtId="0" applyNumberFormat="1" applyFont="1" applyFill="1" applyBorder="1"/>
    <xf fontId="11" fillId="0" borderId="0" numFmtId="0" applyNumberFormat="1" applyFont="1" applyFill="1" applyBorder="1"/>
    <xf fontId="12" fillId="29" borderId="0" numFmtId="0" applyNumberFormat="1" applyFont="1" applyFill="1" applyBorder="1"/>
    <xf fontId="13" fillId="30" borderId="0" numFmtId="0" applyNumberFormat="1" applyFont="1" applyFill="1" applyBorder="1"/>
    <xf fontId="14" fillId="0" borderId="0" numFmtId="0" applyNumberFormat="1" applyFont="1" applyFill="1" applyBorder="1"/>
    <xf fontId="5" fillId="31" borderId="8" numFmtId="0" applyNumberFormat="1" applyFont="1" applyFill="1" applyBorder="1"/>
    <xf fontId="5" fillId="0" borderId="0" numFmtId="9" applyNumberFormat="1" applyFont="1" applyFill="1" applyBorder="1"/>
    <xf fontId="15" fillId="0" borderId="9" numFmtId="0" applyNumberFormat="1" applyFont="1" applyFill="1" applyBorder="1"/>
    <xf fontId="16" fillId="0" borderId="0" numFmtId="0" applyNumberFormat="1" applyFont="1" applyFill="1" applyBorder="1"/>
    <xf fontId="5" fillId="0" borderId="0" numFmtId="166" applyNumberFormat="1" applyFont="1" applyFill="1" applyBorder="1"/>
    <xf fontId="5" fillId="0" borderId="0" numFmtId="167" applyNumberFormat="1" applyFont="1" applyFill="1" applyBorder="1"/>
    <xf fontId="17" fillId="32" borderId="0" numFmtId="0" applyNumberFormat="1" applyFont="1" applyFill="1" applyBorder="1"/>
  </cellStyleXfs>
  <cellXfs count="14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0" xfId="0"/>
    <xf fontId="0" fillId="33" borderId="0" numFmtId="0" xfId="0" applyFill="1" applyAlignment="1">
      <alignment horizontal="center"/>
    </xf>
    <xf fontId="18" fillId="34" borderId="0" numFmtId="0" xfId="0" applyFont="1" applyFill="1"/>
    <xf fontId="0" fillId="0" borderId="0" numFmtId="0" xfId="0" applyAlignment="1">
      <alignment horizontal="center"/>
    </xf>
    <xf fontId="0" fillId="0" borderId="0" numFmtId="0" xfId="0">
      <protection hidden="0" locked="1"/>
    </xf>
    <xf fontId="0" fillId="35" borderId="0" numFmtId="0" xfId="0" applyFill="1"/>
    <xf fontId="0" fillId="34" borderId="0" numFmtId="0" xfId="0" applyFill="1"/>
    <xf fontId="0" fillId="34" borderId="0" numFmtId="0" xfId="0" applyFill="1">
      <protection hidden="0" locked="1"/>
    </xf>
    <xf fontId="0" fillId="36" borderId="0" numFmtId="0" xfId="0" applyFill="1"/>
    <xf fontId="0" fillId="0" borderId="0" numFmtId="0" xfId="0" applyAlignment="1">
      <alignment wrapText="1"/>
    </xf>
  </cellXfs>
  <cellStyles count="47">
    <cellStyle name="20% - Акцент1" xfId="1" builtinId="30"/>
    <cellStyle name="20% - Акцент2" xfId="2" builtinId="34"/>
    <cellStyle name="20% - Акцент3" xfId="3" builtinId="38"/>
    <cellStyle name="20% - Акцент4" xfId="4" builtinId="42"/>
    <cellStyle name="20% - Акцент5" xfId="5" builtinId="46"/>
    <cellStyle name="20% - Акцент6" xfId="6" builtinId="50"/>
    <cellStyle name="40% - Акцент1" xfId="7" builtinId="31"/>
    <cellStyle name="40% - Акцент2" xfId="8" builtinId="35"/>
    <cellStyle name="40% - Акцент3" xfId="9" builtinId="39"/>
    <cellStyle name="40% - Акцент4" xfId="10" builtinId="43"/>
    <cellStyle name="40% - Акцент5" xfId="11" builtinId="47"/>
    <cellStyle name="40% - Акцент6" xfId="12" builtinId="51"/>
    <cellStyle name="60% - Акцент1" xfId="13" builtinId="32"/>
    <cellStyle name="60% - Акцент2" xfId="14" builtinId="36"/>
    <cellStyle name="60% - Акцент3" xfId="15" builtinId="40"/>
    <cellStyle name="60% - Акцент4" xfId="16" builtinId="44"/>
    <cellStyle name="60% - Акцент5" xfId="17" builtinId="48"/>
    <cellStyle name="60% -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Денежный [0]" xfId="29" builtinId="7"/>
    <cellStyle name="Заголовок 1" xfId="30" builtinId="16"/>
    <cellStyle name="Заголовок 2" xfId="31" builtinId="17"/>
    <cellStyle name="Заголовок 3" xfId="32" builtinId="18"/>
    <cellStyle name="Заголовок 4" xfId="33" builtinId="19"/>
    <cellStyle name="Итог" xfId="34" builtinId="25"/>
    <cellStyle name="Контрольная ячейка" xfId="35" builtinId="23"/>
    <cellStyle name="Название" xfId="36" builtinId="15"/>
    <cellStyle name="Нейтральный" xfId="37" builtinId="28"/>
    <cellStyle name="Обычный" xfId="0" builtinId="0"/>
    <cellStyle name="Плохой" xfId="38" builtinId="27"/>
    <cellStyle name="Пояснение" xfId="39" builtinId="53"/>
    <cellStyle name="Примечание" xfId="40" builtinId="10"/>
    <cellStyle name="Процентный" xfId="41" builtinId="5"/>
    <cellStyle name="Связанная ячейка" xfId="42" builtinId="24"/>
    <cellStyle name="Текст предупреждения" xfId="43" builtinId="11"/>
    <cellStyle name="Финансовый" xfId="44" builtinId="3"/>
    <cellStyle name="Финансовый [0]" xfId="45" builtinId="6"/>
    <cellStyle name="Хороший" xfId="46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A1" activeCellId="0" sqref="A1"/>
    </sheetView>
  </sheetViews>
  <sheetFormatPr baseColWidth="8" defaultRowHeight="15" customHeight="1"/>
  <cols>
    <col customWidth="1" min="1" max="1" style="1" width="13.2852"/>
    <col customWidth="1" min="2" max="2" style="1" width="13.710900000000001"/>
    <col customWidth="1" min="3" max="3" style="1" width="16.5703"/>
    <col customWidth="1" min="4" max="5" style="0" width="3.28125"/>
    <col customWidth="1" min="6" max="41" width="3.28125"/>
    <col customWidth="1" min="42" max="52" width="3.57421875"/>
  </cols>
  <sheetData>
    <row r="1" ht="60">
      <c r="A1" s="2" t="s">
        <v>0</v>
      </c>
      <c r="B1" s="2" t="s">
        <v>1</v>
      </c>
      <c r="C1" s="3" t="s">
        <v>2</v>
      </c>
      <c r="D1"/>
      <c r="E1">
        <v>1</v>
      </c>
      <c r="F1">
        <v>2</v>
      </c>
      <c r="G1">
        <v>3</v>
      </c>
      <c r="H1">
        <v>4</v>
      </c>
      <c r="I1" s="4">
        <v>5</v>
      </c>
      <c r="J1" s="4">
        <v>6</v>
      </c>
      <c r="K1">
        <v>7</v>
      </c>
      <c r="L1" s="4">
        <v>8</v>
      </c>
      <c r="M1" s="4">
        <v>9</v>
      </c>
      <c r="N1">
        <v>10</v>
      </c>
      <c r="O1" s="4">
        <v>11</v>
      </c>
      <c r="P1" s="4">
        <v>12</v>
      </c>
      <c r="Q1">
        <v>13</v>
      </c>
      <c r="R1" s="4">
        <v>14</v>
      </c>
      <c r="S1" s="4">
        <v>15</v>
      </c>
      <c r="T1">
        <v>16</v>
      </c>
      <c r="U1" s="4">
        <v>17</v>
      </c>
      <c r="V1" s="4">
        <v>18</v>
      </c>
      <c r="W1">
        <v>19</v>
      </c>
      <c r="X1" s="4">
        <v>20</v>
      </c>
      <c r="Y1" s="4">
        <v>21</v>
      </c>
      <c r="Z1">
        <v>22</v>
      </c>
      <c r="AA1" s="4">
        <v>23</v>
      </c>
      <c r="AB1" s="4">
        <v>24</v>
      </c>
      <c r="AC1">
        <v>25</v>
      </c>
      <c r="AD1" s="4">
        <v>26</v>
      </c>
      <c r="AE1" s="4">
        <v>27</v>
      </c>
      <c r="AF1">
        <v>28</v>
      </c>
      <c r="AG1" s="4">
        <v>29</v>
      </c>
      <c r="AH1" s="4">
        <v>30</v>
      </c>
      <c r="AI1">
        <v>31</v>
      </c>
      <c r="AJ1" s="4">
        <v>32</v>
      </c>
      <c r="AK1" s="4">
        <v>33</v>
      </c>
      <c r="AL1">
        <v>34</v>
      </c>
      <c r="AM1" s="4">
        <v>35</v>
      </c>
      <c r="AN1">
        <v>36</v>
      </c>
      <c r="AO1" s="4">
        <v>37</v>
      </c>
      <c r="AP1">
        <v>38</v>
      </c>
      <c r="AQ1" s="4">
        <v>39</v>
      </c>
      <c r="AR1">
        <v>40</v>
      </c>
      <c r="AS1" s="4">
        <v>41</v>
      </c>
      <c r="AT1">
        <v>42</v>
      </c>
      <c r="AU1" s="4">
        <v>43</v>
      </c>
      <c r="AV1">
        <v>44</v>
      </c>
      <c r="AW1" s="4">
        <v>45</v>
      </c>
      <c r="AX1">
        <v>46</v>
      </c>
      <c r="AY1" s="4">
        <v>47</v>
      </c>
      <c r="AZ1">
        <v>48</v>
      </c>
    </row>
    <row r="2" ht="15">
      <c r="A2" s="1">
        <v>101</v>
      </c>
      <c r="B2" s="5">
        <v>12</v>
      </c>
      <c r="C2" s="1">
        <v>0</v>
      </c>
      <c r="D2"/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</row>
    <row r="3" ht="15">
      <c r="A3" s="1">
        <v>102</v>
      </c>
      <c r="B3" s="5">
        <v>9</v>
      </c>
      <c r="C3" s="1">
        <v>0</v>
      </c>
      <c r="D3"/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</row>
    <row r="4" ht="15">
      <c r="A4" s="1">
        <v>103</v>
      </c>
      <c r="B4" s="5">
        <v>2</v>
      </c>
      <c r="C4" s="7" t="s">
        <v>3</v>
      </c>
      <c r="D4"/>
      <c r="E4"/>
      <c r="F4" s="8"/>
      <c r="G4" s="8"/>
      <c r="Q4" s="6">
        <v>1</v>
      </c>
      <c r="R4" s="6">
        <v>1</v>
      </c>
    </row>
    <row r="5" ht="15">
      <c r="A5" s="1">
        <v>104</v>
      </c>
      <c r="B5" s="5">
        <v>4</v>
      </c>
      <c r="C5" s="1">
        <v>103</v>
      </c>
      <c r="D5"/>
      <c r="E5"/>
      <c r="F5" s="8"/>
      <c r="G5" s="8"/>
      <c r="S5" s="6">
        <v>1</v>
      </c>
      <c r="T5" s="6">
        <v>1</v>
      </c>
      <c r="U5" s="6">
        <v>1</v>
      </c>
      <c r="V5" s="6">
        <v>1</v>
      </c>
    </row>
    <row r="6" ht="15">
      <c r="A6" s="1">
        <v>105</v>
      </c>
      <c r="B6" s="5">
        <v>18</v>
      </c>
      <c r="C6" s="1">
        <v>103</v>
      </c>
      <c r="D6"/>
      <c r="E6"/>
      <c r="F6" s="8"/>
      <c r="G6" s="8"/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</row>
    <row r="7" ht="15">
      <c r="A7" s="1">
        <v>106</v>
      </c>
      <c r="B7" s="5">
        <v>1</v>
      </c>
      <c r="C7" s="1">
        <v>104</v>
      </c>
      <c r="D7"/>
      <c r="E7"/>
      <c r="F7" s="8"/>
      <c r="G7" s="8"/>
      <c r="W7" s="6">
        <v>1</v>
      </c>
    </row>
    <row r="8" ht="15">
      <c r="A8" s="1">
        <v>107</v>
      </c>
      <c r="B8" s="5">
        <v>1</v>
      </c>
      <c r="C8" s="7" t="s">
        <v>4</v>
      </c>
      <c r="D8"/>
      <c r="E8"/>
      <c r="F8" s="8"/>
      <c r="G8" s="8"/>
      <c r="AA8"/>
      <c r="AK8" s="6">
        <v>1</v>
      </c>
    </row>
    <row r="9" ht="15">
      <c r="A9" s="1">
        <v>108</v>
      </c>
      <c r="B9" s="5">
        <v>3</v>
      </c>
      <c r="C9" s="1">
        <v>107</v>
      </c>
      <c r="D9"/>
      <c r="E9"/>
      <c r="F9" s="8"/>
      <c r="G9" s="8"/>
      <c r="AL9" s="6">
        <v>1</v>
      </c>
      <c r="AM9" s="6">
        <v>1</v>
      </c>
      <c r="AN9" s="6">
        <v>1</v>
      </c>
    </row>
    <row r="10" ht="15">
      <c r="A10" s="1">
        <v>109</v>
      </c>
      <c r="B10" s="5">
        <v>8</v>
      </c>
      <c r="C10" s="1">
        <v>0</v>
      </c>
      <c r="D10"/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</row>
    <row r="11" ht="15">
      <c r="A11" s="1">
        <v>110</v>
      </c>
      <c r="B11" s="5">
        <v>14</v>
      </c>
      <c r="C11" s="1">
        <v>109</v>
      </c>
      <c r="D11"/>
      <c r="E11"/>
      <c r="F11" s="8"/>
      <c r="G11" s="8"/>
      <c r="M11" s="6">
        <v>1</v>
      </c>
      <c r="N11" s="6">
        <v>1</v>
      </c>
      <c r="O11" s="6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</row>
    <row r="12" ht="15">
      <c r="A12" s="1">
        <v>111</v>
      </c>
      <c r="B12" s="5">
        <v>6</v>
      </c>
      <c r="C12" s="1">
        <v>109</v>
      </c>
      <c r="D12"/>
      <c r="E12"/>
      <c r="F12" s="8"/>
      <c r="G12" s="8"/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</row>
    <row r="13" ht="15">
      <c r="A13" s="1">
        <v>112</v>
      </c>
      <c r="B13" s="5">
        <v>15</v>
      </c>
      <c r="C13" s="7" t="s">
        <v>5</v>
      </c>
      <c r="D13"/>
      <c r="E13"/>
      <c r="F13" s="8"/>
      <c r="G13" s="8"/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</row>
    <row r="14" ht="15">
      <c r="A14" s="1">
        <v>113</v>
      </c>
      <c r="B14" s="5">
        <v>11</v>
      </c>
      <c r="C14" s="1">
        <v>111</v>
      </c>
      <c r="D14"/>
      <c r="E14"/>
      <c r="F14" s="8"/>
      <c r="G14" s="8"/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P14"/>
      <c r="AQ14"/>
      <c r="AR14"/>
      <c r="AS14"/>
      <c r="AT14"/>
      <c r="AU14"/>
      <c r="AV14"/>
      <c r="AW14"/>
      <c r="AX14"/>
      <c r="AY14"/>
      <c r="AZ14"/>
    </row>
    <row r="15" ht="15" customHeight="1">
      <c r="A15" s="1">
        <v>0</v>
      </c>
      <c r="D15">
        <f>SUM(D2:D14)</f>
        <v>0</v>
      </c>
      <c r="E15" s="8">
        <f>SUM(E2:E14)</f>
        <v>3</v>
      </c>
      <c r="F15" s="8">
        <f>SUM(F2:F14)</f>
        <v>3</v>
      </c>
      <c r="G15" s="8">
        <f>SUM(G2:G14)</f>
        <v>3</v>
      </c>
      <c r="H15" s="8">
        <f>SUM(H2:H14)</f>
        <v>3</v>
      </c>
      <c r="I15" s="8">
        <f>SUM(I2:I14)</f>
        <v>3</v>
      </c>
      <c r="J15" s="8">
        <f>SUM(J2:J14)</f>
        <v>3</v>
      </c>
      <c r="K15" s="8">
        <f>SUM(K2:K14)</f>
        <v>3</v>
      </c>
      <c r="L15" s="8">
        <f>SUM(L2:L14)</f>
        <v>3</v>
      </c>
      <c r="M15" s="8">
        <f>SUM(M2:M14)</f>
        <v>4</v>
      </c>
      <c r="N15" s="8">
        <f>SUM(N2:N14)</f>
        <v>3</v>
      </c>
      <c r="O15" s="8">
        <f>SUM(O2:O14)</f>
        <v>3</v>
      </c>
      <c r="P15" s="8">
        <f>SUM(P2:P14)</f>
        <v>3</v>
      </c>
      <c r="Q15" s="8">
        <f>SUM(Q2:Q14)</f>
        <v>3</v>
      </c>
      <c r="R15" s="8">
        <f>SUM(R2:R14)</f>
        <v>3</v>
      </c>
      <c r="S15" s="8">
        <f>SUM(S2:S14)</f>
        <v>4</v>
      </c>
      <c r="T15" s="8">
        <f>SUM(T2:T14)</f>
        <v>4</v>
      </c>
      <c r="U15" s="8">
        <f>SUM(U2:U14)</f>
        <v>4</v>
      </c>
      <c r="V15" s="8">
        <f>SUM(V2:V14)</f>
        <v>4</v>
      </c>
      <c r="W15" s="8">
        <f>SUM(W2:W14)</f>
        <v>4</v>
      </c>
      <c r="X15" s="8">
        <f>SUM(X2:X14)</f>
        <v>3</v>
      </c>
      <c r="Y15" s="8">
        <f>SUM(Y2:Y14)</f>
        <v>3</v>
      </c>
      <c r="Z15" s="8">
        <f>SUM(Z2:Z14)</f>
        <v>3</v>
      </c>
      <c r="AA15" s="8">
        <f>SUM(AA2:AA14)</f>
        <v>3</v>
      </c>
      <c r="AB15" s="8">
        <f>SUM(AB2:AB14)</f>
        <v>3</v>
      </c>
      <c r="AC15" s="8">
        <f>SUM(AC2:AC14)</f>
        <v>3</v>
      </c>
      <c r="AD15" s="8">
        <f>SUM(AD2:AD14)</f>
        <v>2</v>
      </c>
      <c r="AE15" s="8">
        <f>SUM(AE2:AE14)</f>
        <v>2</v>
      </c>
      <c r="AF15" s="8">
        <f>SUM(AF2:AF14)</f>
        <v>2</v>
      </c>
      <c r="AG15" s="8">
        <f>SUM(AG2:AG14)</f>
        <v>2</v>
      </c>
      <c r="AH15" s="8">
        <f>SUM(AH2:AH14)</f>
        <v>2</v>
      </c>
      <c r="AI15" s="8">
        <f>SUM(AI2:AI14)</f>
        <v>2</v>
      </c>
      <c r="AJ15" s="8">
        <f>SUM(AJ2:AJ14)</f>
        <v>2</v>
      </c>
      <c r="AK15" s="8">
        <f>SUM(AK2:AK14)</f>
        <v>2</v>
      </c>
      <c r="AL15" s="8">
        <f>SUM(AL2:AL14)</f>
        <v>2</v>
      </c>
      <c r="AM15" s="8">
        <f>SUM(AM2:AM14)</f>
        <v>2</v>
      </c>
      <c r="AN15" s="8">
        <f>SUM(AN2:AN14)</f>
        <v>2</v>
      </c>
      <c r="AO15" s="8">
        <f>SUM(AO2:AO14)</f>
        <v>1</v>
      </c>
    </row>
    <row r="17" ht="15" customHeight="1">
      <c r="T17" s="9">
        <v>5</v>
      </c>
    </row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greaterThan" id="{00950055-003B-452A-9578-00CA00940091}">
            <xm:f>3</xm:f>
            <x14:dxf>
              <fill>
                <patternFill patternType="solid">
                  <fgColor rgb="FFFBE4D5"/>
                  <bgColor rgb="FFFBE4D5"/>
                </patternFill>
              </fill>
            </x14:dxf>
          </x14:cfRule>
          <xm:sqref>D15:AO15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1" zoomScale="100" workbookViewId="0">
      <selection activeCell="A1" activeCellId="0" sqref="A1"/>
    </sheetView>
  </sheetViews>
  <sheetFormatPr baseColWidth="8" defaultRowHeight="15" customHeight="1"/>
  <cols>
    <col customWidth="1" min="1" max="1" style="1" width="13.2852"/>
    <col customWidth="1" min="2" max="2" style="1" width="13.710900000000001"/>
    <col customWidth="1" min="3" max="3" style="1" width="16.5703"/>
    <col customWidth="1" min="4" max="5" style="0" width="3.28125"/>
    <col customWidth="1" min="6" max="41" width="3.28125"/>
    <col customWidth="1" min="42" max="52" width="3.57421875"/>
  </cols>
  <sheetData>
    <row r="1" ht="60">
      <c r="A1" s="2" t="s">
        <v>0</v>
      </c>
      <c r="B1" s="2" t="s">
        <v>1</v>
      </c>
      <c r="C1" s="3" t="s">
        <v>2</v>
      </c>
      <c r="D1"/>
      <c r="E1">
        <v>1</v>
      </c>
      <c r="F1">
        <v>2</v>
      </c>
      <c r="G1">
        <v>3</v>
      </c>
      <c r="H1">
        <v>4</v>
      </c>
      <c r="I1" s="4">
        <v>5</v>
      </c>
      <c r="J1" s="4">
        <v>6</v>
      </c>
      <c r="K1">
        <v>7</v>
      </c>
      <c r="L1" s="4">
        <v>8</v>
      </c>
      <c r="M1" s="4">
        <v>9</v>
      </c>
      <c r="N1">
        <v>10</v>
      </c>
      <c r="O1" s="4">
        <v>11</v>
      </c>
      <c r="P1" s="4">
        <v>12</v>
      </c>
      <c r="Q1">
        <v>13</v>
      </c>
      <c r="R1" s="4">
        <v>14</v>
      </c>
      <c r="S1" s="4">
        <v>15</v>
      </c>
      <c r="T1">
        <v>16</v>
      </c>
      <c r="U1" s="4">
        <v>17</v>
      </c>
      <c r="V1" s="4">
        <v>18</v>
      </c>
      <c r="W1">
        <v>19</v>
      </c>
      <c r="X1" s="4">
        <v>20</v>
      </c>
      <c r="Y1" s="4">
        <v>21</v>
      </c>
      <c r="Z1">
        <v>22</v>
      </c>
      <c r="AA1" s="4">
        <v>23</v>
      </c>
      <c r="AB1" s="4">
        <v>24</v>
      </c>
      <c r="AC1">
        <v>25</v>
      </c>
      <c r="AD1" s="4">
        <v>26</v>
      </c>
      <c r="AE1" s="4">
        <v>27</v>
      </c>
      <c r="AF1">
        <v>28</v>
      </c>
      <c r="AG1" s="4">
        <v>29</v>
      </c>
      <c r="AH1" s="4">
        <v>30</v>
      </c>
      <c r="AI1">
        <v>31</v>
      </c>
      <c r="AJ1" s="4">
        <v>32</v>
      </c>
      <c r="AK1" s="4">
        <v>33</v>
      </c>
      <c r="AL1">
        <v>34</v>
      </c>
      <c r="AM1" s="4">
        <v>35</v>
      </c>
      <c r="AN1">
        <v>36</v>
      </c>
      <c r="AO1" s="4">
        <v>37</v>
      </c>
      <c r="AP1">
        <v>38</v>
      </c>
      <c r="AQ1" s="4">
        <v>39</v>
      </c>
      <c r="AR1">
        <v>40</v>
      </c>
      <c r="AS1" s="4">
        <v>41</v>
      </c>
      <c r="AT1">
        <v>42</v>
      </c>
      <c r="AU1" s="4">
        <v>43</v>
      </c>
      <c r="AV1">
        <v>44</v>
      </c>
      <c r="AW1" s="4">
        <v>45</v>
      </c>
      <c r="AX1">
        <v>46</v>
      </c>
      <c r="AY1" s="4">
        <v>47</v>
      </c>
      <c r="AZ1">
        <v>48</v>
      </c>
    </row>
    <row r="2" ht="15">
      <c r="A2" s="1">
        <v>101</v>
      </c>
      <c r="B2" s="5">
        <v>12</v>
      </c>
      <c r="C2" s="1">
        <v>0</v>
      </c>
      <c r="D2"/>
      <c r="E2" s="6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ht="15">
      <c r="A3" s="1">
        <v>102</v>
      </c>
      <c r="B3" s="5">
        <v>9</v>
      </c>
      <c r="C3" s="1">
        <v>0</v>
      </c>
      <c r="D3"/>
      <c r="E3" s="10"/>
      <c r="F3" s="11"/>
      <c r="G3" s="11"/>
      <c r="H3" s="10"/>
      <c r="I3" s="10"/>
      <c r="J3" s="10"/>
      <c r="K3" s="10"/>
      <c r="L3" s="10"/>
      <c r="M3" s="10"/>
    </row>
    <row r="4" ht="15">
      <c r="A4" s="1">
        <v>103</v>
      </c>
      <c r="B4" s="5">
        <v>2</v>
      </c>
      <c r="C4" s="7" t="s">
        <v>3</v>
      </c>
      <c r="D4"/>
      <c r="E4"/>
      <c r="F4" s="8"/>
      <c r="G4" s="8"/>
      <c r="Q4" s="10"/>
      <c r="R4" s="10"/>
    </row>
    <row r="5" ht="15">
      <c r="A5" s="1">
        <v>104</v>
      </c>
      <c r="B5" s="5">
        <v>4</v>
      </c>
      <c r="C5" s="1">
        <v>103</v>
      </c>
      <c r="D5"/>
      <c r="E5"/>
      <c r="F5" s="8"/>
      <c r="G5" s="8"/>
      <c r="S5" s="10"/>
      <c r="T5" s="10"/>
      <c r="U5" s="10"/>
      <c r="V5" s="10"/>
    </row>
    <row r="6" ht="15">
      <c r="A6" s="1">
        <v>105</v>
      </c>
      <c r="B6" s="5">
        <v>18</v>
      </c>
      <c r="C6" s="1">
        <v>103</v>
      </c>
      <c r="D6"/>
      <c r="E6"/>
      <c r="F6" s="8"/>
      <c r="G6" s="8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</row>
    <row r="7" ht="15">
      <c r="A7" s="1">
        <v>106</v>
      </c>
      <c r="B7" s="5">
        <v>1</v>
      </c>
      <c r="C7" s="1">
        <v>104</v>
      </c>
      <c r="D7"/>
      <c r="E7"/>
      <c r="F7" s="8"/>
      <c r="G7" s="8"/>
      <c r="W7" s="10"/>
    </row>
    <row r="8" ht="15">
      <c r="A8" s="1">
        <v>107</v>
      </c>
      <c r="B8" s="5">
        <v>1</v>
      </c>
      <c r="C8" s="7" t="s">
        <v>4</v>
      </c>
      <c r="D8"/>
      <c r="E8"/>
      <c r="F8" s="8"/>
      <c r="G8" s="8"/>
      <c r="AA8"/>
      <c r="AK8" s="10"/>
    </row>
    <row r="9" ht="15">
      <c r="A9" s="1">
        <v>108</v>
      </c>
      <c r="B9" s="5">
        <v>3</v>
      </c>
      <c r="C9" s="1">
        <v>107</v>
      </c>
      <c r="D9"/>
      <c r="E9"/>
      <c r="F9" s="8"/>
      <c r="G9" s="8"/>
      <c r="AL9" s="10"/>
      <c r="AM9" s="10"/>
      <c r="AN9" s="10"/>
    </row>
    <row r="10" ht="15">
      <c r="A10" s="1">
        <v>109</v>
      </c>
      <c r="B10" s="5">
        <v>8</v>
      </c>
      <c r="C10" s="1">
        <v>0</v>
      </c>
      <c r="D10"/>
      <c r="E10" s="10"/>
      <c r="F10" s="11"/>
      <c r="G10" s="11"/>
      <c r="H10" s="10"/>
      <c r="I10" s="10"/>
      <c r="J10" s="10"/>
      <c r="K10" s="10"/>
      <c r="L10" s="10"/>
    </row>
    <row r="11" ht="15">
      <c r="A11" s="1">
        <v>110</v>
      </c>
      <c r="B11" s="5">
        <v>14</v>
      </c>
      <c r="C11" s="1">
        <v>109</v>
      </c>
      <c r="D11"/>
      <c r="E11"/>
      <c r="F11" s="8"/>
      <c r="G11" s="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">
      <c r="A12" s="1">
        <v>111</v>
      </c>
      <c r="B12" s="5">
        <v>6</v>
      </c>
      <c r="C12" s="1">
        <v>109</v>
      </c>
      <c r="D12"/>
      <c r="E12"/>
      <c r="F12" s="8"/>
      <c r="G12" s="8"/>
      <c r="M12" s="10"/>
      <c r="N12" s="10"/>
      <c r="O12" s="10"/>
      <c r="P12" s="10"/>
      <c r="Q12" s="10"/>
      <c r="R12" s="10"/>
    </row>
    <row r="13" ht="15">
      <c r="A13" s="1">
        <v>112</v>
      </c>
      <c r="B13" s="5">
        <v>15</v>
      </c>
      <c r="C13" s="7" t="s">
        <v>5</v>
      </c>
      <c r="D13"/>
      <c r="E13"/>
      <c r="F13" s="8"/>
      <c r="G13" s="8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</row>
    <row r="14" ht="15">
      <c r="A14" s="1">
        <v>113</v>
      </c>
      <c r="B14" s="5">
        <v>11</v>
      </c>
      <c r="C14" s="1">
        <v>111</v>
      </c>
      <c r="D14"/>
      <c r="E14"/>
      <c r="F14" s="8"/>
      <c r="G14" s="8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P14"/>
      <c r="AQ14"/>
      <c r="AR14"/>
      <c r="AS14"/>
      <c r="AT14"/>
      <c r="AU14"/>
      <c r="AV14"/>
      <c r="AW14"/>
      <c r="AX14"/>
      <c r="AY14"/>
      <c r="AZ14"/>
    </row>
    <row r="15" ht="15" customHeight="1">
      <c r="A15" s="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 customHeight="1"/>
  <cols>
    <col customWidth="1" min="1" max="1" style="1" width="13.2852"/>
    <col customWidth="1" min="2" max="2" style="1" width="13.710900000000001"/>
    <col customWidth="1" min="3" max="3" style="1" width="16.5703"/>
    <col min="5" max="6" style="12" width="9.140625"/>
    <col min="9" max="9" style="0" width="9.140625"/>
  </cols>
  <sheetData>
    <row r="1" ht="60">
      <c r="A1" s="2" t="s">
        <v>0</v>
      </c>
      <c r="B1" s="2" t="s">
        <v>1</v>
      </c>
      <c r="C1" s="3" t="s">
        <v>2</v>
      </c>
      <c r="D1" s="13"/>
      <c r="E1" s="12" t="s">
        <v>6</v>
      </c>
      <c r="G1" t="s">
        <v>7</v>
      </c>
      <c r="H1" t="s">
        <v>8</v>
      </c>
    </row>
    <row r="2" ht="15">
      <c r="A2" s="1">
        <v>101</v>
      </c>
      <c r="B2" s="1">
        <v>12</v>
      </c>
      <c r="C2" s="1">
        <v>0</v>
      </c>
      <c r="E2" s="12">
        <f ca="1">VLOOKUP(C2,$A:$H,8,0)</f>
        <v>0</v>
      </c>
      <c r="F2" s="12">
        <f ca="1">VLOOKUP(D2,$A:$H,8,0)</f>
        <v>0</v>
      </c>
      <c r="G2">
        <f>MAX(E2:F2)+1</f>
        <v>1</v>
      </c>
      <c r="H2">
        <f>G2+B2-1</f>
        <v>12</v>
      </c>
      <c r="I2"/>
    </row>
    <row r="3" ht="15">
      <c r="A3" s="1">
        <v>102</v>
      </c>
      <c r="B3" s="1">
        <v>9</v>
      </c>
      <c r="C3" s="1">
        <v>0</v>
      </c>
      <c r="E3" s="12">
        <f ca="1">VLOOKUP(C3,$A:$H,8,0)</f>
        <v>0</v>
      </c>
      <c r="F3" s="12">
        <f ca="1">VLOOKUP(D3,$A:$H,8,0)</f>
        <v>0</v>
      </c>
      <c r="G3" s="8">
        <f>MAX(E3:F3)+1</f>
        <v>1</v>
      </c>
      <c r="H3" s="8">
        <f>G3+B3-1</f>
        <v>9</v>
      </c>
      <c r="I3"/>
    </row>
    <row r="4" ht="15">
      <c r="A4" s="1">
        <v>103</v>
      </c>
      <c r="B4" s="1">
        <v>2</v>
      </c>
      <c r="C4" s="1">
        <v>101</v>
      </c>
      <c r="D4">
        <v>102</v>
      </c>
      <c r="E4" s="12">
        <f ca="1">VLOOKUP(C4,$A:$H,8,0)</f>
        <v>0</v>
      </c>
      <c r="F4" s="12">
        <f ca="1">VLOOKUP(D4,$A:$H,8,0)</f>
        <v>0</v>
      </c>
      <c r="G4" s="8">
        <f>MAX(E4:F4)+1</f>
        <v>1</v>
      </c>
      <c r="H4" s="8">
        <f>G4+B4-1</f>
        <v>2</v>
      </c>
    </row>
    <row r="5" ht="15">
      <c r="A5" s="1">
        <v>104</v>
      </c>
      <c r="B5" s="1">
        <v>4</v>
      </c>
      <c r="C5" s="1">
        <v>103</v>
      </c>
      <c r="E5" s="12">
        <f ca="1">VLOOKUP(C5,$A:$H,8,0)</f>
        <v>0</v>
      </c>
      <c r="F5" s="12">
        <f ca="1">VLOOKUP(D5,$A:$H,8,0)</f>
        <v>0</v>
      </c>
      <c r="G5" s="8">
        <f>MAX(E5:F5)+1</f>
        <v>1</v>
      </c>
      <c r="H5" s="8">
        <f>G5+B5-1</f>
        <v>4</v>
      </c>
    </row>
    <row r="6" ht="15">
      <c r="A6" s="1">
        <v>105</v>
      </c>
      <c r="B6" s="1">
        <v>18</v>
      </c>
      <c r="C6" s="1">
        <v>103</v>
      </c>
      <c r="E6" s="12">
        <f ca="1">VLOOKUP(C6,$A:$H,8,0)</f>
        <v>0</v>
      </c>
      <c r="F6" s="12">
        <f ca="1">VLOOKUP(D6,$A:$H,8,0)</f>
        <v>0</v>
      </c>
      <c r="G6" s="8">
        <f>MAX(E6:F6)+1</f>
        <v>1</v>
      </c>
      <c r="H6" s="8">
        <f>G6+B6-1</f>
        <v>18</v>
      </c>
    </row>
    <row r="7" ht="15">
      <c r="A7" s="1">
        <v>106</v>
      </c>
      <c r="B7" s="1">
        <v>1</v>
      </c>
      <c r="C7" s="1">
        <v>104</v>
      </c>
      <c r="E7" s="12">
        <f ca="1">VLOOKUP(C7,$A:$H,8,0)</f>
        <v>0</v>
      </c>
      <c r="F7" s="12">
        <f ca="1">VLOOKUP(D7,$A:$H,8,0)</f>
        <v>0</v>
      </c>
      <c r="G7" s="8">
        <f>MAX(E7:F7)+1</f>
        <v>1</v>
      </c>
      <c r="H7" s="8">
        <f>G7+B7-1</f>
        <v>1</v>
      </c>
    </row>
    <row r="8" ht="15">
      <c r="A8" s="1">
        <v>107</v>
      </c>
      <c r="B8" s="1">
        <v>1</v>
      </c>
      <c r="C8" s="1">
        <v>105</v>
      </c>
      <c r="D8">
        <v>106</v>
      </c>
      <c r="E8" s="12">
        <f ca="1">VLOOKUP(C8,$A:$H,8,0)</f>
        <v>0</v>
      </c>
      <c r="F8" s="12">
        <f ca="1">VLOOKUP(D8,$A:$H,8,0)</f>
        <v>0</v>
      </c>
      <c r="G8" s="8">
        <f>MAX(E8:F8)+1</f>
        <v>1</v>
      </c>
      <c r="H8" s="8">
        <f>G8+B8-1</f>
        <v>1</v>
      </c>
    </row>
    <row r="9" ht="15">
      <c r="A9" s="1">
        <v>108</v>
      </c>
      <c r="B9" s="1">
        <v>3</v>
      </c>
      <c r="C9" s="1">
        <v>107</v>
      </c>
      <c r="E9" s="12">
        <f ca="1">VLOOKUP(C9,$A:$H,8,0)</f>
        <v>0</v>
      </c>
      <c r="F9" s="12">
        <f ca="1">VLOOKUP(D9,$A:$H,8,0)</f>
        <v>0</v>
      </c>
      <c r="G9" s="8">
        <f>MAX(E9:F9)+1</f>
        <v>1</v>
      </c>
      <c r="H9" s="8">
        <f>G9+B9-1</f>
        <v>3</v>
      </c>
    </row>
    <row r="10" ht="15">
      <c r="A10" s="1">
        <v>109</v>
      </c>
      <c r="B10" s="1">
        <v>8</v>
      </c>
      <c r="C10" s="1">
        <v>0</v>
      </c>
      <c r="E10" s="12">
        <f ca="1">VLOOKUP(C10,$A:$H,8,0)</f>
        <v>0</v>
      </c>
      <c r="F10" s="12">
        <f ca="1">VLOOKUP(D10,$A:$H,8,0)</f>
        <v>0</v>
      </c>
      <c r="G10" s="8">
        <f>MAX(E10:F10)+1</f>
        <v>1</v>
      </c>
      <c r="H10" s="8">
        <f>G10+B10-1</f>
        <v>8</v>
      </c>
      <c r="I10"/>
    </row>
    <row r="11" ht="15">
      <c r="A11" s="1">
        <v>110</v>
      </c>
      <c r="B11" s="1">
        <v>14</v>
      </c>
      <c r="C11" s="1">
        <v>109</v>
      </c>
      <c r="E11" s="12">
        <f ca="1">VLOOKUP(C11,$A:$H,8,0)</f>
        <v>0</v>
      </c>
      <c r="F11" s="12">
        <f ca="1">VLOOKUP(D11,$A:$H,8,0)</f>
        <v>0</v>
      </c>
      <c r="G11" s="8">
        <f>MAX(E11:F11)+1</f>
        <v>1</v>
      </c>
      <c r="H11" s="8">
        <f>G11+B11-1</f>
        <v>14</v>
      </c>
    </row>
    <row r="12" ht="15">
      <c r="A12" s="1">
        <v>111</v>
      </c>
      <c r="B12" s="1">
        <v>6</v>
      </c>
      <c r="C12" s="1">
        <v>109</v>
      </c>
      <c r="E12" s="12">
        <f ca="1">VLOOKUP(C12,$A:$H,8,0)</f>
        <v>0</v>
      </c>
      <c r="F12" s="12">
        <f ca="1">VLOOKUP(D12,$A:$H,8,0)</f>
        <v>0</v>
      </c>
      <c r="G12" s="8">
        <f>MAX(E12:F12)+1</f>
        <v>1</v>
      </c>
      <c r="H12" s="8">
        <f>G12+B12-1</f>
        <v>6</v>
      </c>
    </row>
    <row r="13" ht="15">
      <c r="A13" s="1">
        <v>112</v>
      </c>
      <c r="B13" s="1">
        <v>15</v>
      </c>
      <c r="C13" s="1">
        <v>110</v>
      </c>
      <c r="D13">
        <v>111</v>
      </c>
      <c r="E13" s="12">
        <f ca="1">VLOOKUP(C13,$A:$H,8,0)</f>
        <v>0</v>
      </c>
      <c r="F13" s="12">
        <f ca="1">VLOOKUP(D13,$A:$H,8,0)</f>
        <v>0</v>
      </c>
      <c r="G13" s="8">
        <f>MAX(E13:F13)+1</f>
        <v>1</v>
      </c>
      <c r="H13" s="8">
        <f>G13+B13-1</f>
        <v>15</v>
      </c>
    </row>
    <row r="14" ht="15">
      <c r="A14" s="1">
        <v>113</v>
      </c>
      <c r="B14" s="1">
        <v>11</v>
      </c>
      <c r="C14" s="1">
        <v>111</v>
      </c>
      <c r="E14" s="12">
        <f ca="1">VLOOKUP(C14,$A:$H,8,0)</f>
        <v>0</v>
      </c>
      <c r="F14" s="12">
        <f ca="1">VLOOKUP(D14,$A:$H,8,0)</f>
        <v>0</v>
      </c>
      <c r="G14" s="8">
        <f>MAX(E14:F14)+1</f>
        <v>1</v>
      </c>
      <c r="H14" s="8">
        <f>G14+B14-1</f>
        <v>11</v>
      </c>
    </row>
    <row r="15" ht="15" customHeight="1">
      <c r="A15" s="1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2022-07-26T06:42:00Z</dcterms:created>
  <dcterms:modified xsi:type="dcterms:W3CDTF">2026-03-06T13:16:51Z</dcterms:modified>
  <cp:version>786432</cp:version>
</cp:coreProperties>
</file>